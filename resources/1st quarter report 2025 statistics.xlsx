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Capstone\quarterly report\"/>
    </mc:Choice>
  </mc:AlternateContent>
  <xr:revisionPtr revIDLastSave="0" documentId="13_ncr:1_{1DC9A56A-C9C3-4C95-97CE-AADF82C28C5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entral" sheetId="1" r:id="rId1"/>
    <sheet name="Titus" sheetId="3" r:id="rId2"/>
    <sheet name="Besao" sheetId="5" r:id="rId3"/>
    <sheet name="Bauko" sheetId="2" r:id="rId4"/>
    <sheet name="Kinali" sheetId="7" r:id="rId5"/>
    <sheet name="Sagada" sheetId="4" r:id="rId6"/>
    <sheet name="Tadian" sheetId="6" r:id="rId7"/>
    <sheet name="financial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" i="1" l="1"/>
  <c r="D79" i="1"/>
  <c r="E79" i="1"/>
  <c r="F79" i="1"/>
  <c r="G79" i="1"/>
  <c r="H79" i="1"/>
  <c r="I79" i="1"/>
  <c r="J79" i="1"/>
  <c r="K79" i="1"/>
  <c r="M79" i="1"/>
  <c r="N79" i="1"/>
  <c r="O79" i="1"/>
  <c r="P79" i="1"/>
  <c r="Q79" i="1"/>
  <c r="R79" i="1"/>
  <c r="S79" i="1"/>
  <c r="T79" i="1"/>
  <c r="U79" i="1"/>
  <c r="V79" i="1"/>
  <c r="L79" i="1"/>
  <c r="T39" i="1"/>
  <c r="U39" i="1"/>
  <c r="V39" i="1"/>
  <c r="W26" i="1"/>
  <c r="V22" i="1"/>
  <c r="V17" i="1"/>
  <c r="V10" i="1"/>
  <c r="W30" i="1"/>
  <c r="W31" i="1"/>
  <c r="W32" i="1"/>
  <c r="W33" i="1"/>
  <c r="W34" i="1"/>
  <c r="W35" i="1"/>
  <c r="W36" i="1"/>
  <c r="W37" i="1"/>
  <c r="W38" i="1"/>
  <c r="W40" i="1"/>
  <c r="W41" i="1"/>
  <c r="W42" i="1"/>
  <c r="W43" i="1"/>
  <c r="W44" i="1"/>
  <c r="W45" i="1"/>
  <c r="W46" i="1"/>
  <c r="W47" i="1"/>
  <c r="W48" i="1"/>
  <c r="W49" i="1"/>
  <c r="W50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29" i="1"/>
  <c r="Q22" i="7"/>
  <c r="Q17" i="7"/>
  <c r="R9" i="7"/>
  <c r="R11" i="7"/>
  <c r="R12" i="7"/>
  <c r="R13" i="7"/>
  <c r="R14" i="7"/>
  <c r="R15" i="7"/>
  <c r="R16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40" i="7"/>
  <c r="R41" i="7"/>
  <c r="R42" i="7"/>
  <c r="R43" i="7"/>
  <c r="R44" i="7"/>
  <c r="R45" i="7"/>
  <c r="R46" i="7"/>
  <c r="R47" i="7"/>
  <c r="R48" i="7"/>
  <c r="R49" i="7"/>
  <c r="R50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5" i="7"/>
  <c r="R6" i="7"/>
  <c r="R7" i="7"/>
  <c r="R8" i="7"/>
  <c r="R4" i="7"/>
  <c r="Q80" i="5"/>
  <c r="Q79" i="5" s="1"/>
  <c r="R79" i="5" s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80" i="5"/>
  <c r="R81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82" i="5"/>
  <c r="O22" i="4"/>
  <c r="H10" i="3"/>
  <c r="I10" i="3"/>
  <c r="C78" i="7"/>
  <c r="P80" i="5"/>
  <c r="P79" i="5" s="1"/>
  <c r="K80" i="5"/>
  <c r="C80" i="5"/>
  <c r="D80" i="5"/>
  <c r="E80" i="5"/>
  <c r="F80" i="5"/>
  <c r="G80" i="5"/>
  <c r="H80" i="5"/>
  <c r="I80" i="5"/>
  <c r="J80" i="5"/>
  <c r="L80" i="5"/>
  <c r="M80" i="5"/>
  <c r="N80" i="5"/>
  <c r="N79" i="5" s="1"/>
  <c r="O80" i="5"/>
  <c r="O79" i="5" s="1"/>
  <c r="N51" i="5"/>
  <c r="O51" i="5"/>
  <c r="P51" i="5"/>
  <c r="N39" i="5"/>
  <c r="O39" i="5"/>
  <c r="P39" i="5"/>
  <c r="N17" i="5"/>
  <c r="O17" i="5"/>
  <c r="P17" i="5"/>
  <c r="N22" i="5"/>
  <c r="N10" i="5" s="1"/>
  <c r="O22" i="5"/>
  <c r="O10" i="5" s="1"/>
  <c r="P22" i="5"/>
  <c r="P10" i="5" s="1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5" i="6"/>
  <c r="T6" i="6"/>
  <c r="T7" i="6"/>
  <c r="T4" i="6"/>
  <c r="Q78" i="2"/>
  <c r="N17" i="1"/>
  <c r="O39" i="1"/>
  <c r="L39" i="3"/>
  <c r="Z51" i="2"/>
  <c r="Z39" i="2"/>
  <c r="H78" i="2"/>
  <c r="L13" i="10"/>
  <c r="L12" i="10"/>
  <c r="B12" i="10"/>
  <c r="C12" i="10"/>
  <c r="H12" i="10"/>
  <c r="W79" i="1" l="1"/>
  <c r="C26" i="10"/>
  <c r="C6" i="10"/>
  <c r="L7" i="10"/>
  <c r="H15" i="10"/>
  <c r="L11" i="10"/>
  <c r="B11" i="10"/>
  <c r="C11" i="10"/>
  <c r="C19" i="10"/>
  <c r="D10" i="10"/>
  <c r="C22" i="10"/>
  <c r="K22" i="10"/>
  <c r="M22" i="10" s="1"/>
  <c r="R22" i="10" s="1"/>
  <c r="K23" i="10"/>
  <c r="M23" i="10" s="1"/>
  <c r="R23" i="10" s="1"/>
  <c r="T4" i="1"/>
  <c r="C16" i="10"/>
  <c r="C84" i="10"/>
  <c r="H112" i="10"/>
  <c r="F112" i="10"/>
  <c r="C112" i="10"/>
  <c r="L101" i="10"/>
  <c r="N51" i="6"/>
  <c r="L104" i="10"/>
  <c r="I104" i="10"/>
  <c r="L109" i="10"/>
  <c r="D109" i="10"/>
  <c r="I111" i="10"/>
  <c r="D111" i="10"/>
  <c r="C111" i="10"/>
  <c r="B111" i="10"/>
  <c r="L113" i="10"/>
  <c r="D113" i="10"/>
  <c r="I102" i="10"/>
  <c r="D102" i="10"/>
  <c r="F102" i="10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C17" i="6"/>
  <c r="L106" i="10"/>
  <c r="D106" i="10"/>
  <c r="D48" i="10" l="1"/>
  <c r="C48" i="10"/>
  <c r="B48" i="10"/>
  <c r="C8" i="10" l="1"/>
  <c r="E5" i="10"/>
  <c r="I14" i="10"/>
  <c r="H14" i="10"/>
  <c r="D17" i="1"/>
  <c r="E17" i="1"/>
  <c r="F17" i="1"/>
  <c r="G17" i="1"/>
  <c r="H17" i="1"/>
  <c r="I17" i="1"/>
  <c r="J17" i="1"/>
  <c r="K17" i="1"/>
  <c r="L17" i="1"/>
  <c r="M17" i="1"/>
  <c r="O17" i="1"/>
  <c r="P17" i="1"/>
  <c r="Q17" i="1"/>
  <c r="R17" i="1"/>
  <c r="S17" i="1"/>
  <c r="U17" i="1"/>
  <c r="C17" i="1"/>
  <c r="C51" i="10"/>
  <c r="D22" i="5"/>
  <c r="E22" i="5"/>
  <c r="F22" i="5"/>
  <c r="G22" i="5"/>
  <c r="H22" i="5"/>
  <c r="I22" i="5"/>
  <c r="J22" i="5"/>
  <c r="K22" i="5"/>
  <c r="L22" i="5"/>
  <c r="M22" i="5"/>
  <c r="I36" i="10"/>
  <c r="H36" i="10"/>
  <c r="D17" i="3"/>
  <c r="E17" i="3"/>
  <c r="F17" i="3"/>
  <c r="G17" i="3"/>
  <c r="H17" i="3"/>
  <c r="I17" i="3"/>
  <c r="J17" i="3"/>
  <c r="K17" i="3"/>
  <c r="L17" i="3"/>
  <c r="M17" i="3"/>
  <c r="N17" i="3"/>
  <c r="O17" i="3"/>
  <c r="C17" i="3"/>
  <c r="L28" i="10" l="1"/>
  <c r="C28" i="10"/>
  <c r="L130" i="10"/>
  <c r="C130" i="10"/>
  <c r="L129" i="10"/>
  <c r="I129" i="10"/>
  <c r="C129" i="10"/>
  <c r="L120" i="10"/>
  <c r="C120" i="10"/>
  <c r="L122" i="10"/>
  <c r="C122" i="10"/>
  <c r="L121" i="10"/>
  <c r="C121" i="10"/>
  <c r="L131" i="10"/>
  <c r="C131" i="10"/>
  <c r="L123" i="10"/>
  <c r="I123" i="10"/>
  <c r="C123" i="10"/>
  <c r="L124" i="10"/>
  <c r="C124" i="10"/>
  <c r="D17" i="7"/>
  <c r="E17" i="7"/>
  <c r="F17" i="7"/>
  <c r="G17" i="7"/>
  <c r="H17" i="7"/>
  <c r="R17" i="7" s="1"/>
  <c r="I17" i="7"/>
  <c r="K17" i="7"/>
  <c r="L17" i="7"/>
  <c r="M17" i="7"/>
  <c r="N17" i="7"/>
  <c r="O17" i="7"/>
  <c r="P17" i="7"/>
  <c r="C17" i="7"/>
  <c r="F58" i="10" l="1"/>
  <c r="D58" i="10"/>
  <c r="C58" i="10"/>
  <c r="L62" i="10"/>
  <c r="I62" i="10"/>
  <c r="D62" i="10"/>
  <c r="L44" i="10"/>
  <c r="I44" i="10"/>
  <c r="L57" i="10" l="1"/>
  <c r="I57" i="10"/>
  <c r="H57" i="10"/>
  <c r="C57" i="10"/>
  <c r="L59" i="10"/>
  <c r="C59" i="10"/>
  <c r="L65" i="10"/>
  <c r="C65" i="10"/>
  <c r="L63" i="10"/>
  <c r="C63" i="10"/>
  <c r="C68" i="10" l="1"/>
  <c r="L61" i="10"/>
  <c r="I61" i="10"/>
  <c r="H61" i="10"/>
  <c r="C61" i="10"/>
  <c r="K82" i="10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C17" i="4"/>
  <c r="G78" i="2"/>
  <c r="G17" i="2"/>
  <c r="W51" i="2"/>
  <c r="T51" i="2"/>
  <c r="T39" i="2"/>
  <c r="L77" i="10" l="1"/>
  <c r="H77" i="10"/>
  <c r="L85" i="10"/>
  <c r="C85" i="10"/>
  <c r="L76" i="10"/>
  <c r="C76" i="10"/>
  <c r="L89" i="10"/>
  <c r="I89" i="10"/>
  <c r="H89" i="10"/>
  <c r="D89" i="10"/>
  <c r="C89" i="10"/>
  <c r="R11" i="2"/>
  <c r="R17" i="2" s="1"/>
  <c r="C80" i="10"/>
  <c r="D97" i="10"/>
  <c r="C97" i="10"/>
  <c r="D87" i="10"/>
  <c r="L88" i="10"/>
  <c r="C88" i="10"/>
  <c r="O79" i="10"/>
  <c r="H79" i="10"/>
  <c r="D79" i="10"/>
  <c r="C79" i="10"/>
  <c r="Z17" i="2"/>
  <c r="AA17" i="2"/>
  <c r="D17" i="2"/>
  <c r="E17" i="2"/>
  <c r="F17" i="2"/>
  <c r="F10" i="2" s="1"/>
  <c r="H17" i="2"/>
  <c r="I17" i="2"/>
  <c r="J17" i="2"/>
  <c r="J10" i="2" s="1"/>
  <c r="K17" i="2"/>
  <c r="L17" i="2"/>
  <c r="M17" i="2"/>
  <c r="N17" i="2"/>
  <c r="O17" i="2"/>
  <c r="P17" i="2"/>
  <c r="Q17" i="2"/>
  <c r="S17" i="2"/>
  <c r="T17" i="2"/>
  <c r="U17" i="2"/>
  <c r="V17" i="2"/>
  <c r="W17" i="2"/>
  <c r="X17" i="2"/>
  <c r="Y17" i="2"/>
  <c r="C17" i="2"/>
  <c r="I10" i="2"/>
  <c r="C90" i="10"/>
  <c r="L81" i="10"/>
  <c r="B81" i="10"/>
  <c r="C81" i="10"/>
  <c r="L46" i="10"/>
  <c r="I46" i="10"/>
  <c r="C46" i="10"/>
  <c r="L42" i="10"/>
  <c r="I42" i="10"/>
  <c r="C42" i="10"/>
  <c r="L43" i="10"/>
  <c r="C43" i="10"/>
  <c r="D17" i="5"/>
  <c r="D10" i="5" s="1"/>
  <c r="E17" i="5"/>
  <c r="F17" i="5"/>
  <c r="F10" i="5" s="1"/>
  <c r="G17" i="5"/>
  <c r="G10" i="5" s="1"/>
  <c r="H17" i="5"/>
  <c r="I17" i="5"/>
  <c r="I10" i="5" s="1"/>
  <c r="J17" i="5"/>
  <c r="J10" i="5" s="1"/>
  <c r="K17" i="5"/>
  <c r="K10" i="5" s="1"/>
  <c r="L17" i="5"/>
  <c r="M17" i="5"/>
  <c r="M10" i="5" s="1"/>
  <c r="C17" i="5"/>
  <c r="L47" i="10"/>
  <c r="H47" i="10"/>
  <c r="C47" i="10"/>
  <c r="K79" i="10" l="1"/>
  <c r="L45" i="10"/>
  <c r="I45" i="10"/>
  <c r="H45" i="10"/>
  <c r="D45" i="10"/>
  <c r="B45" i="10"/>
  <c r="K45" i="10" l="1"/>
  <c r="C78" i="1" l="1"/>
  <c r="D51" i="3"/>
  <c r="E51" i="3"/>
  <c r="F51" i="3"/>
  <c r="G51" i="3"/>
  <c r="H51" i="3"/>
  <c r="I51" i="3"/>
  <c r="J51" i="3"/>
  <c r="K51" i="3"/>
  <c r="M51" i="3"/>
  <c r="N51" i="3"/>
  <c r="O51" i="3"/>
  <c r="C51" i="3"/>
  <c r="D51" i="6" l="1"/>
  <c r="E51" i="6"/>
  <c r="F51" i="6"/>
  <c r="G51" i="6"/>
  <c r="H51" i="6"/>
  <c r="I51" i="6"/>
  <c r="J51" i="6"/>
  <c r="K51" i="6"/>
  <c r="L51" i="6"/>
  <c r="M51" i="6"/>
  <c r="O51" i="6"/>
  <c r="P51" i="6"/>
  <c r="Q51" i="6"/>
  <c r="R51" i="6"/>
  <c r="C51" i="6"/>
  <c r="D39" i="6"/>
  <c r="E39" i="6"/>
  <c r="F39" i="6"/>
  <c r="G39" i="6"/>
  <c r="H39" i="6"/>
  <c r="I39" i="6"/>
  <c r="J39" i="6"/>
  <c r="K39" i="6"/>
  <c r="L39" i="6"/>
  <c r="M39" i="6"/>
  <c r="N39" i="6"/>
  <c r="P39" i="6"/>
  <c r="Q39" i="6"/>
  <c r="R39" i="6"/>
  <c r="O10" i="6"/>
  <c r="R10" i="6"/>
  <c r="D22" i="6"/>
  <c r="D10" i="6" s="1"/>
  <c r="E22" i="6"/>
  <c r="E10" i="6" s="1"/>
  <c r="F22" i="6"/>
  <c r="F10" i="6" s="1"/>
  <c r="G22" i="6"/>
  <c r="G10" i="6" s="1"/>
  <c r="H22" i="6"/>
  <c r="H10" i="6" s="1"/>
  <c r="I22" i="6"/>
  <c r="I10" i="6" s="1"/>
  <c r="J22" i="6"/>
  <c r="J10" i="6" s="1"/>
  <c r="K22" i="6"/>
  <c r="K10" i="6" s="1"/>
  <c r="L22" i="6"/>
  <c r="L10" i="6" s="1"/>
  <c r="M22" i="6"/>
  <c r="M10" i="6" s="1"/>
  <c r="N22" i="6"/>
  <c r="N10" i="6" s="1"/>
  <c r="O22" i="6"/>
  <c r="P22" i="6"/>
  <c r="P10" i="6" s="1"/>
  <c r="Q22" i="6"/>
  <c r="Q10" i="6" s="1"/>
  <c r="R22" i="6"/>
  <c r="Z22" i="2"/>
  <c r="Z10" i="2" s="1"/>
  <c r="D39" i="7"/>
  <c r="E39" i="7"/>
  <c r="F39" i="7"/>
  <c r="G39" i="7"/>
  <c r="H39" i="7"/>
  <c r="R39" i="7" s="1"/>
  <c r="I39" i="7"/>
  <c r="J39" i="7"/>
  <c r="K39" i="7"/>
  <c r="L39" i="7"/>
  <c r="M39" i="7"/>
  <c r="N39" i="7"/>
  <c r="O39" i="7"/>
  <c r="P39" i="7"/>
  <c r="J11" i="7"/>
  <c r="J17" i="7" s="1"/>
  <c r="D51" i="7"/>
  <c r="E51" i="7"/>
  <c r="F51" i="7"/>
  <c r="G51" i="7"/>
  <c r="H51" i="7"/>
  <c r="R51" i="7" s="1"/>
  <c r="I51" i="7"/>
  <c r="J51" i="7"/>
  <c r="K51" i="7"/>
  <c r="L51" i="7"/>
  <c r="M51" i="7"/>
  <c r="N51" i="7"/>
  <c r="O51" i="7"/>
  <c r="P51" i="7"/>
  <c r="C51" i="7"/>
  <c r="L127" i="10"/>
  <c r="I127" i="10"/>
  <c r="D127" i="10"/>
  <c r="C127" i="10"/>
  <c r="P51" i="4"/>
  <c r="M51" i="4"/>
  <c r="M39" i="4"/>
  <c r="F10" i="4"/>
  <c r="D51" i="4"/>
  <c r="E51" i="4"/>
  <c r="F51" i="4"/>
  <c r="G51" i="4"/>
  <c r="H51" i="4"/>
  <c r="I51" i="4"/>
  <c r="J51" i="4"/>
  <c r="K51" i="4"/>
  <c r="L51" i="4"/>
  <c r="N51" i="4"/>
  <c r="O51" i="4"/>
  <c r="Q51" i="4"/>
  <c r="R51" i="4"/>
  <c r="G39" i="4"/>
  <c r="H39" i="4"/>
  <c r="I39" i="4"/>
  <c r="J39" i="4"/>
  <c r="K39" i="4"/>
  <c r="L39" i="4"/>
  <c r="N39" i="4"/>
  <c r="O39" i="4"/>
  <c r="P39" i="4"/>
  <c r="Q39" i="4"/>
  <c r="R39" i="4"/>
  <c r="F39" i="4"/>
  <c r="C51" i="4"/>
  <c r="H132" i="10" l="1"/>
  <c r="C132" i="10"/>
  <c r="K131" i="10"/>
  <c r="K130" i="10"/>
  <c r="M130" i="10" s="1"/>
  <c r="R130" i="10" s="1"/>
  <c r="K129" i="10"/>
  <c r="M129" i="10" s="1"/>
  <c r="R129" i="10" s="1"/>
  <c r="K128" i="10"/>
  <c r="M128" i="10" s="1"/>
  <c r="R128" i="10" s="1"/>
  <c r="K127" i="10"/>
  <c r="M127" i="10" s="1"/>
  <c r="R127" i="10" s="1"/>
  <c r="Q126" i="10"/>
  <c r="L126" i="10"/>
  <c r="G126" i="10"/>
  <c r="C126" i="10"/>
  <c r="K125" i="10"/>
  <c r="M125" i="10" s="1"/>
  <c r="R125" i="10" s="1"/>
  <c r="K124" i="10"/>
  <c r="M124" i="10" s="1"/>
  <c r="R124" i="10" s="1"/>
  <c r="K123" i="10"/>
  <c r="M123" i="10" s="1"/>
  <c r="R123" i="10" s="1"/>
  <c r="K122" i="10"/>
  <c r="M122" i="10" s="1"/>
  <c r="R122" i="10" s="1"/>
  <c r="K121" i="10"/>
  <c r="K120" i="10"/>
  <c r="M120" i="10" s="1"/>
  <c r="R120" i="10" s="1"/>
  <c r="K116" i="10"/>
  <c r="M116" i="10" s="1"/>
  <c r="R116" i="10" s="1"/>
  <c r="L115" i="10"/>
  <c r="K115" i="10"/>
  <c r="H114" i="10"/>
  <c r="D114" i="10"/>
  <c r="K113" i="10"/>
  <c r="M113" i="10" s="1"/>
  <c r="R113" i="10" s="1"/>
  <c r="K112" i="10"/>
  <c r="M112" i="10" s="1"/>
  <c r="R112" i="10" s="1"/>
  <c r="K111" i="10"/>
  <c r="M111" i="10" s="1"/>
  <c r="R111" i="10" s="1"/>
  <c r="K110" i="10"/>
  <c r="M110" i="10" s="1"/>
  <c r="R110" i="10" s="1"/>
  <c r="K109" i="10"/>
  <c r="M109" i="10" s="1"/>
  <c r="R109" i="10" s="1"/>
  <c r="C108" i="10"/>
  <c r="K108" i="10" s="1"/>
  <c r="M108" i="10" s="1"/>
  <c r="R108" i="10" s="1"/>
  <c r="K107" i="10"/>
  <c r="M107" i="10" s="1"/>
  <c r="R107" i="10" s="1"/>
  <c r="K106" i="10"/>
  <c r="M106" i="10" s="1"/>
  <c r="R106" i="10" s="1"/>
  <c r="K105" i="10"/>
  <c r="M105" i="10" s="1"/>
  <c r="R105" i="10" s="1"/>
  <c r="K104" i="10"/>
  <c r="M104" i="10" s="1"/>
  <c r="R104" i="10" s="1"/>
  <c r="L103" i="10"/>
  <c r="C103" i="10"/>
  <c r="K103" i="10" s="1"/>
  <c r="M103" i="10" s="1"/>
  <c r="R103" i="10" s="1"/>
  <c r="K102" i="10"/>
  <c r="M102" i="10" s="1"/>
  <c r="R102" i="10" s="1"/>
  <c r="K101" i="10"/>
  <c r="M101" i="10" s="1"/>
  <c r="R101" i="10" s="1"/>
  <c r="K97" i="10"/>
  <c r="M97" i="10" s="1"/>
  <c r="R97" i="10" s="1"/>
  <c r="K96" i="10"/>
  <c r="M96" i="10" s="1"/>
  <c r="R96" i="10" s="1"/>
  <c r="K95" i="10"/>
  <c r="M95" i="10" s="1"/>
  <c r="R95" i="10" s="1"/>
  <c r="K94" i="10"/>
  <c r="M94" i="10" s="1"/>
  <c r="R94" i="10" s="1"/>
  <c r="K93" i="10"/>
  <c r="M93" i="10" s="1"/>
  <c r="R93" i="10" s="1"/>
  <c r="K92" i="10"/>
  <c r="M92" i="10" s="1"/>
  <c r="R92" i="10" s="1"/>
  <c r="K90" i="10"/>
  <c r="M90" i="10" s="1"/>
  <c r="R90" i="10" s="1"/>
  <c r="K89" i="10"/>
  <c r="M89" i="10" s="1"/>
  <c r="R89" i="10" s="1"/>
  <c r="K88" i="10"/>
  <c r="M88" i="10" s="1"/>
  <c r="R88" i="10" s="1"/>
  <c r="K87" i="10"/>
  <c r="M87" i="10" s="1"/>
  <c r="R87" i="10" s="1"/>
  <c r="K86" i="10"/>
  <c r="M86" i="10" s="1"/>
  <c r="R86" i="10" s="1"/>
  <c r="K85" i="10"/>
  <c r="M85" i="10" s="1"/>
  <c r="R85" i="10" s="1"/>
  <c r="K84" i="10"/>
  <c r="M84" i="10" s="1"/>
  <c r="R84" i="10" s="1"/>
  <c r="K83" i="10"/>
  <c r="M83" i="10" s="1"/>
  <c r="R83" i="10" s="1"/>
  <c r="M82" i="10"/>
  <c r="R82" i="10" s="1"/>
  <c r="K81" i="10"/>
  <c r="M81" i="10" s="1"/>
  <c r="R81" i="10" s="1"/>
  <c r="K80" i="10"/>
  <c r="M80" i="10" s="1"/>
  <c r="R80" i="10" s="1"/>
  <c r="M79" i="10"/>
  <c r="R79" i="10" s="1"/>
  <c r="K78" i="10"/>
  <c r="M78" i="10" s="1"/>
  <c r="R78" i="10" s="1"/>
  <c r="K77" i="10"/>
  <c r="M77" i="10" s="1"/>
  <c r="R77" i="10" s="1"/>
  <c r="K76" i="10"/>
  <c r="M76" i="10" s="1"/>
  <c r="R76" i="10" s="1"/>
  <c r="K75" i="10"/>
  <c r="M75" i="10" s="1"/>
  <c r="R75" i="10" s="1"/>
  <c r="L71" i="10"/>
  <c r="C71" i="10"/>
  <c r="K71" i="10" s="1"/>
  <c r="M71" i="10" s="1"/>
  <c r="R71" i="10" s="1"/>
  <c r="K70" i="10"/>
  <c r="M70" i="10" s="1"/>
  <c r="R70" i="10" s="1"/>
  <c r="K69" i="10"/>
  <c r="M69" i="10" s="1"/>
  <c r="R69" i="10" s="1"/>
  <c r="K68" i="10"/>
  <c r="M68" i="10" s="1"/>
  <c r="R68" i="10" s="1"/>
  <c r="L66" i="10"/>
  <c r="C66" i="10"/>
  <c r="K66" i="10" s="1"/>
  <c r="M66" i="10" s="1"/>
  <c r="R66" i="10" s="1"/>
  <c r="K65" i="10"/>
  <c r="M65" i="10" s="1"/>
  <c r="R65" i="10" s="1"/>
  <c r="K64" i="10"/>
  <c r="M64" i="10" s="1"/>
  <c r="R64" i="10" s="1"/>
  <c r="K63" i="10"/>
  <c r="M63" i="10" s="1"/>
  <c r="R63" i="10" s="1"/>
  <c r="K62" i="10"/>
  <c r="M62" i="10" s="1"/>
  <c r="R62" i="10" s="1"/>
  <c r="K60" i="10"/>
  <c r="M60" i="10" s="1"/>
  <c r="R60" i="10" s="1"/>
  <c r="K59" i="10"/>
  <c r="K58" i="10"/>
  <c r="M58" i="10" s="1"/>
  <c r="R58" i="10" s="1"/>
  <c r="K52" i="10"/>
  <c r="M52" i="10" s="1"/>
  <c r="R52" i="10" s="1"/>
  <c r="K51" i="10"/>
  <c r="M51" i="10" s="1"/>
  <c r="R51" i="10" s="1"/>
  <c r="K50" i="10"/>
  <c r="M50" i="10" s="1"/>
  <c r="R50" i="10" s="1"/>
  <c r="K49" i="10"/>
  <c r="M49" i="10" s="1"/>
  <c r="R49" i="10" s="1"/>
  <c r="K48" i="10"/>
  <c r="M48" i="10" s="1"/>
  <c r="R48" i="10" s="1"/>
  <c r="K47" i="10"/>
  <c r="M47" i="10" s="1"/>
  <c r="R47" i="10" s="1"/>
  <c r="M45" i="10"/>
  <c r="R45" i="10" s="1"/>
  <c r="K43" i="10"/>
  <c r="M43" i="10" s="1"/>
  <c r="R43" i="10" s="1"/>
  <c r="K42" i="10"/>
  <c r="M42" i="10" s="1"/>
  <c r="R42" i="10" s="1"/>
  <c r="R38" i="10"/>
  <c r="K38" i="10"/>
  <c r="K37" i="10"/>
  <c r="M37" i="10" s="1"/>
  <c r="R37" i="10" s="1"/>
  <c r="K36" i="10"/>
  <c r="M36" i="10" s="1"/>
  <c r="R36" i="10" s="1"/>
  <c r="D35" i="10"/>
  <c r="C35" i="10"/>
  <c r="I34" i="10"/>
  <c r="C34" i="10"/>
  <c r="K33" i="10"/>
  <c r="M33" i="10" s="1"/>
  <c r="R33" i="10" s="1"/>
  <c r="K32" i="10"/>
  <c r="M32" i="10" s="1"/>
  <c r="R32" i="10" s="1"/>
  <c r="L31" i="10"/>
  <c r="C31" i="10"/>
  <c r="K31" i="10" s="1"/>
  <c r="K30" i="10"/>
  <c r="K29" i="10"/>
  <c r="M29" i="10" s="1"/>
  <c r="R29" i="10" s="1"/>
  <c r="K28" i="10"/>
  <c r="M28" i="10" s="1"/>
  <c r="R28" i="10" s="1"/>
  <c r="K27" i="10"/>
  <c r="M27" i="10" s="1"/>
  <c r="R27" i="10" s="1"/>
  <c r="K26" i="10"/>
  <c r="M26" i="10" s="1"/>
  <c r="R26" i="10" s="1"/>
  <c r="K21" i="10"/>
  <c r="M21" i="10" s="1"/>
  <c r="R21" i="10" s="1"/>
  <c r="K20" i="10"/>
  <c r="M20" i="10" s="1"/>
  <c r="R20" i="10" s="1"/>
  <c r="L18" i="10"/>
  <c r="C18" i="10"/>
  <c r="K18" i="10" s="1"/>
  <c r="M18" i="10" s="1"/>
  <c r="R18" i="10" s="1"/>
  <c r="K17" i="10"/>
  <c r="M17" i="10" s="1"/>
  <c r="R17" i="10" s="1"/>
  <c r="K16" i="10"/>
  <c r="M16" i="10" s="1"/>
  <c r="R16" i="10" s="1"/>
  <c r="K15" i="10"/>
  <c r="M15" i="10" s="1"/>
  <c r="R15" i="10" s="1"/>
  <c r="K14" i="10"/>
  <c r="M14" i="10" s="1"/>
  <c r="R14" i="10" s="1"/>
  <c r="R13" i="10"/>
  <c r="C13" i="10"/>
  <c r="K13" i="10" s="1"/>
  <c r="M13" i="10" s="1"/>
  <c r="K12" i="10"/>
  <c r="M12" i="10" s="1"/>
  <c r="R12" i="10" s="1"/>
  <c r="K11" i="10"/>
  <c r="K10" i="10"/>
  <c r="M10" i="10" s="1"/>
  <c r="R10" i="10" s="1"/>
  <c r="K9" i="10"/>
  <c r="M9" i="10" s="1"/>
  <c r="R9" i="10" s="1"/>
  <c r="K8" i="10"/>
  <c r="M8" i="10" s="1"/>
  <c r="R8" i="10" s="1"/>
  <c r="K7" i="10"/>
  <c r="M7" i="10" s="1"/>
  <c r="R7" i="10" s="1"/>
  <c r="K6" i="10"/>
  <c r="M6" i="10" s="1"/>
  <c r="R6" i="10" s="1"/>
  <c r="K5" i="10"/>
  <c r="M5" i="10" s="1"/>
  <c r="R5" i="10" s="1"/>
  <c r="K114" i="10" l="1"/>
  <c r="M114" i="10" s="1"/>
  <c r="R114" i="10" s="1"/>
  <c r="M115" i="10"/>
  <c r="R115" i="10" s="1"/>
  <c r="M11" i="10"/>
  <c r="R11" i="10" s="1"/>
  <c r="K19" i="10"/>
  <c r="M19" i="10" s="1"/>
  <c r="R19" i="10" s="1"/>
  <c r="M30" i="10"/>
  <c r="R30" i="10" s="1"/>
  <c r="K34" i="10"/>
  <c r="M34" i="10" s="1"/>
  <c r="R34" i="10" s="1"/>
  <c r="M31" i="10"/>
  <c r="R31" i="10" s="1"/>
  <c r="K35" i="10"/>
  <c r="M35" i="10" s="1"/>
  <c r="R35" i="10" s="1"/>
  <c r="K126" i="10"/>
  <c r="M126" i="10" s="1"/>
  <c r="R126" i="10" s="1"/>
  <c r="K132" i="10"/>
  <c r="M132" i="10" s="1"/>
  <c r="R132" i="10" s="1"/>
  <c r="M121" i="10"/>
  <c r="R121" i="10" s="1"/>
  <c r="M131" i="10"/>
  <c r="R131" i="10" s="1"/>
  <c r="M59" i="10"/>
  <c r="R59" i="10" s="1"/>
  <c r="K44" i="10"/>
  <c r="M44" i="10" s="1"/>
  <c r="R44" i="10" s="1"/>
  <c r="K46" i="10"/>
  <c r="M46" i="10" s="1"/>
  <c r="R46" i="10" s="1"/>
  <c r="K57" i="10"/>
  <c r="M57" i="10" s="1"/>
  <c r="R57" i="10" s="1"/>
  <c r="K67" i="10"/>
  <c r="M67" i="10" s="1"/>
  <c r="R67" i="10" s="1"/>
  <c r="K91" i="10"/>
  <c r="M91" i="10" s="1"/>
  <c r="R91" i="10" s="1"/>
  <c r="K61" i="10"/>
  <c r="M61" i="10" s="1"/>
  <c r="R61" i="10" s="1"/>
  <c r="P7" i="3" l="1"/>
  <c r="S5" i="4" l="1"/>
  <c r="S6" i="4"/>
  <c r="S7" i="4"/>
  <c r="S8" i="4"/>
  <c r="S9" i="4"/>
  <c r="S11" i="4"/>
  <c r="S12" i="4"/>
  <c r="S13" i="4"/>
  <c r="S14" i="4"/>
  <c r="S15" i="4"/>
  <c r="S16" i="4"/>
  <c r="S18" i="4"/>
  <c r="S19" i="4"/>
  <c r="S20" i="4"/>
  <c r="S21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40" i="4"/>
  <c r="S41" i="4"/>
  <c r="S42" i="4"/>
  <c r="S43" i="4"/>
  <c r="S44" i="4"/>
  <c r="S45" i="4"/>
  <c r="S46" i="4"/>
  <c r="S47" i="4"/>
  <c r="S48" i="4"/>
  <c r="S49" i="4"/>
  <c r="S50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W5" i="1"/>
  <c r="W6" i="1"/>
  <c r="W7" i="1"/>
  <c r="W8" i="1"/>
  <c r="W9" i="1"/>
  <c r="W11" i="1"/>
  <c r="W12" i="1"/>
  <c r="W13" i="1"/>
  <c r="W14" i="1"/>
  <c r="W15" i="1"/>
  <c r="W16" i="1"/>
  <c r="W18" i="1"/>
  <c r="W19" i="1"/>
  <c r="W20" i="1"/>
  <c r="W21" i="1"/>
  <c r="W23" i="1"/>
  <c r="W24" i="1"/>
  <c r="W25" i="1"/>
  <c r="W27" i="1"/>
  <c r="W28" i="1"/>
  <c r="P5" i="3"/>
  <c r="P6" i="3"/>
  <c r="P8" i="3"/>
  <c r="P9" i="3"/>
  <c r="P11" i="3"/>
  <c r="P12" i="3"/>
  <c r="P13" i="3"/>
  <c r="P14" i="3"/>
  <c r="P15" i="3"/>
  <c r="P16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40" i="3"/>
  <c r="P41" i="3"/>
  <c r="P42" i="3"/>
  <c r="P43" i="3"/>
  <c r="P44" i="3"/>
  <c r="P45" i="3"/>
  <c r="P46" i="3"/>
  <c r="P47" i="3"/>
  <c r="P48" i="3"/>
  <c r="P49" i="3"/>
  <c r="P50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AB5" i="2"/>
  <c r="AB6" i="2"/>
  <c r="AB7" i="2"/>
  <c r="AB8" i="2"/>
  <c r="AB9" i="2"/>
  <c r="AB11" i="2"/>
  <c r="AB12" i="2"/>
  <c r="AB13" i="2"/>
  <c r="AB14" i="2"/>
  <c r="AB15" i="2"/>
  <c r="AB16" i="2"/>
  <c r="AB18" i="2"/>
  <c r="AB19" i="2"/>
  <c r="AB20" i="2"/>
  <c r="AB21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40" i="2"/>
  <c r="AB41" i="2"/>
  <c r="AB42" i="2"/>
  <c r="AB43" i="2"/>
  <c r="AB44" i="2"/>
  <c r="AB45" i="2"/>
  <c r="AB46" i="2"/>
  <c r="AB47" i="2"/>
  <c r="AB48" i="2"/>
  <c r="AB49" i="2"/>
  <c r="AB50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L10" i="3" l="1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U51" i="2"/>
  <c r="Y51" i="2"/>
  <c r="AA51" i="2"/>
  <c r="C51" i="2"/>
  <c r="C51" i="5"/>
  <c r="C39" i="2"/>
  <c r="D51" i="5"/>
  <c r="E51" i="5"/>
  <c r="G51" i="5"/>
  <c r="H51" i="5"/>
  <c r="I51" i="5"/>
  <c r="J51" i="5"/>
  <c r="L51" i="5"/>
  <c r="M51" i="5"/>
  <c r="C39" i="5"/>
  <c r="J51" i="1"/>
  <c r="C51" i="1"/>
  <c r="D51" i="1"/>
  <c r="F51" i="1"/>
  <c r="G51" i="1"/>
  <c r="H51" i="1"/>
  <c r="I51" i="1"/>
  <c r="K51" i="1"/>
  <c r="L51" i="1"/>
  <c r="W51" i="1" s="1"/>
  <c r="M51" i="1"/>
  <c r="N51" i="1"/>
  <c r="O51" i="1"/>
  <c r="P51" i="1"/>
  <c r="S51" i="1"/>
  <c r="C39" i="1"/>
  <c r="D22" i="1"/>
  <c r="D10" i="1" s="1"/>
  <c r="E22" i="1"/>
  <c r="E10" i="1" s="1"/>
  <c r="F22" i="1"/>
  <c r="F10" i="1" s="1"/>
  <c r="G22" i="1"/>
  <c r="G10" i="1" s="1"/>
  <c r="H22" i="1"/>
  <c r="H10" i="1" s="1"/>
  <c r="I22" i="1"/>
  <c r="I10" i="1" s="1"/>
  <c r="J22" i="1"/>
  <c r="J10" i="1" s="1"/>
  <c r="K22" i="1"/>
  <c r="K10" i="1" s="1"/>
  <c r="L22" i="1"/>
  <c r="M22" i="1"/>
  <c r="M10" i="1" s="1"/>
  <c r="N22" i="1"/>
  <c r="N10" i="1" s="1"/>
  <c r="O22" i="1"/>
  <c r="O10" i="1" s="1"/>
  <c r="P22" i="1"/>
  <c r="P10" i="1" s="1"/>
  <c r="Q22" i="1"/>
  <c r="Q10" i="1" s="1"/>
  <c r="R22" i="1"/>
  <c r="R10" i="1" s="1"/>
  <c r="S22" i="1"/>
  <c r="S10" i="1" s="1"/>
  <c r="U22" i="1"/>
  <c r="U10" i="1" s="1"/>
  <c r="C22" i="1"/>
  <c r="C10" i="1" s="1"/>
  <c r="I4" i="1"/>
  <c r="N4" i="1"/>
  <c r="Q4" i="1"/>
  <c r="S4" i="1"/>
  <c r="U4" i="1"/>
  <c r="W17" i="1" l="1"/>
  <c r="W4" i="1"/>
  <c r="W22" i="1"/>
  <c r="AB51" i="2"/>
  <c r="D77" i="7"/>
  <c r="E77" i="7"/>
  <c r="F78" i="7"/>
  <c r="F77" i="7" s="1"/>
  <c r="G78" i="7"/>
  <c r="G77" i="7" s="1"/>
  <c r="I78" i="7"/>
  <c r="I77" i="7" s="1"/>
  <c r="K78" i="7"/>
  <c r="K77" i="7" s="1"/>
  <c r="L78" i="7"/>
  <c r="L77" i="7" s="1"/>
  <c r="M77" i="7"/>
  <c r="N78" i="7"/>
  <c r="N77" i="7" s="1"/>
  <c r="O77" i="7"/>
  <c r="P78" i="7"/>
  <c r="P77" i="7" s="1"/>
  <c r="H77" i="7"/>
  <c r="R77" i="7" s="1"/>
  <c r="D22" i="7"/>
  <c r="D10" i="7" s="1"/>
  <c r="E22" i="7"/>
  <c r="E10" i="7" s="1"/>
  <c r="F22" i="7"/>
  <c r="F10" i="7" s="1"/>
  <c r="G22" i="7"/>
  <c r="G10" i="7" s="1"/>
  <c r="H22" i="7"/>
  <c r="I22" i="7"/>
  <c r="I10" i="7" s="1"/>
  <c r="K22" i="7"/>
  <c r="K10" i="7" s="1"/>
  <c r="L22" i="7"/>
  <c r="L10" i="7" s="1"/>
  <c r="M22" i="7"/>
  <c r="M10" i="7" s="1"/>
  <c r="N22" i="7"/>
  <c r="N10" i="7" s="1"/>
  <c r="O22" i="7"/>
  <c r="O10" i="7" s="1"/>
  <c r="P22" i="7"/>
  <c r="P10" i="7" s="1"/>
  <c r="H10" i="7"/>
  <c r="R10" i="7" s="1"/>
  <c r="F4" i="7"/>
  <c r="G4" i="7"/>
  <c r="I4" i="7"/>
  <c r="M4" i="7"/>
  <c r="N4" i="7"/>
  <c r="D77" i="6"/>
  <c r="E78" i="6"/>
  <c r="E77" i="6" s="1"/>
  <c r="K77" i="6"/>
  <c r="L78" i="6"/>
  <c r="L77" i="6" s="1"/>
  <c r="M78" i="6"/>
  <c r="M77" i="6" s="1"/>
  <c r="N77" i="6"/>
  <c r="O78" i="6"/>
  <c r="O77" i="6" s="1"/>
  <c r="P78" i="6"/>
  <c r="R77" i="6"/>
  <c r="H77" i="6"/>
  <c r="P77" i="6"/>
  <c r="D4" i="6"/>
  <c r="E4" i="6"/>
  <c r="L4" i="6"/>
  <c r="M4" i="6"/>
  <c r="N4" i="6"/>
  <c r="O4" i="6"/>
  <c r="D77" i="2"/>
  <c r="E77" i="2"/>
  <c r="H77" i="2"/>
  <c r="L78" i="2"/>
  <c r="L77" i="2" s="1"/>
  <c r="M78" i="2"/>
  <c r="M77" i="2" s="1"/>
  <c r="N77" i="2"/>
  <c r="O78" i="2"/>
  <c r="O77" i="2" s="1"/>
  <c r="P77" i="2"/>
  <c r="Q77" i="2"/>
  <c r="R77" i="2"/>
  <c r="S77" i="2"/>
  <c r="T78" i="2"/>
  <c r="T77" i="2" s="1"/>
  <c r="U78" i="2"/>
  <c r="U77" i="2" s="1"/>
  <c r="V77" i="2"/>
  <c r="W77" i="2"/>
  <c r="X77" i="2"/>
  <c r="AA77" i="2"/>
  <c r="K77" i="2"/>
  <c r="D39" i="2"/>
  <c r="E39" i="2"/>
  <c r="G39" i="2"/>
  <c r="H39" i="2"/>
  <c r="K39" i="2"/>
  <c r="L39" i="2"/>
  <c r="M39" i="2"/>
  <c r="N39" i="2"/>
  <c r="O39" i="2"/>
  <c r="P39" i="2"/>
  <c r="Q39" i="2"/>
  <c r="R39" i="2"/>
  <c r="S39" i="2"/>
  <c r="U39" i="2"/>
  <c r="V39" i="2"/>
  <c r="W39" i="2"/>
  <c r="X39" i="2"/>
  <c r="Y39" i="2"/>
  <c r="AA39" i="2"/>
  <c r="D22" i="2"/>
  <c r="D10" i="2" s="1"/>
  <c r="E22" i="2"/>
  <c r="E10" i="2" s="1"/>
  <c r="G22" i="2"/>
  <c r="G10" i="2" s="1"/>
  <c r="H22" i="2"/>
  <c r="H10" i="2" s="1"/>
  <c r="K22" i="2"/>
  <c r="K10" i="2" s="1"/>
  <c r="L22" i="2"/>
  <c r="L10" i="2" s="1"/>
  <c r="M22" i="2"/>
  <c r="M10" i="2" s="1"/>
  <c r="N22" i="2"/>
  <c r="N10" i="2" s="1"/>
  <c r="O22" i="2"/>
  <c r="O10" i="2" s="1"/>
  <c r="P22" i="2"/>
  <c r="P10" i="2" s="1"/>
  <c r="Q22" i="2"/>
  <c r="Q10" i="2" s="1"/>
  <c r="R22" i="2"/>
  <c r="R10" i="2" s="1"/>
  <c r="S22" i="2"/>
  <c r="S10" i="2" s="1"/>
  <c r="T22" i="2"/>
  <c r="T10" i="2" s="1"/>
  <c r="U22" i="2"/>
  <c r="U10" i="2" s="1"/>
  <c r="V22" i="2"/>
  <c r="V10" i="2" s="1"/>
  <c r="W22" i="2"/>
  <c r="W10" i="2" s="1"/>
  <c r="X22" i="2"/>
  <c r="X10" i="2" s="1"/>
  <c r="Y22" i="2"/>
  <c r="Y10" i="2" s="1"/>
  <c r="AA22" i="2"/>
  <c r="AA10" i="2" s="1"/>
  <c r="L4" i="2"/>
  <c r="N4" i="2"/>
  <c r="U4" i="2"/>
  <c r="Y4" i="2"/>
  <c r="D78" i="4"/>
  <c r="E79" i="4"/>
  <c r="E78" i="4" s="1"/>
  <c r="G78" i="4"/>
  <c r="H78" i="4"/>
  <c r="I79" i="4"/>
  <c r="I78" i="4" s="1"/>
  <c r="J79" i="4"/>
  <c r="J78" i="4" s="1"/>
  <c r="K78" i="4"/>
  <c r="L79" i="4"/>
  <c r="L78" i="4" s="1"/>
  <c r="N79" i="4"/>
  <c r="N78" i="4" s="1"/>
  <c r="P78" i="4"/>
  <c r="Q79" i="4"/>
  <c r="Q78" i="4" s="1"/>
  <c r="R79" i="4"/>
  <c r="M78" i="4"/>
  <c r="D39" i="4"/>
  <c r="E39" i="4"/>
  <c r="D22" i="4"/>
  <c r="E22" i="4"/>
  <c r="E10" i="4" s="1"/>
  <c r="G22" i="4"/>
  <c r="G10" i="4" s="1"/>
  <c r="H22" i="4"/>
  <c r="H10" i="4" s="1"/>
  <c r="I22" i="4"/>
  <c r="I10" i="4" s="1"/>
  <c r="J22" i="4"/>
  <c r="J10" i="4" s="1"/>
  <c r="K22" i="4"/>
  <c r="K10" i="4" s="1"/>
  <c r="L22" i="4"/>
  <c r="L10" i="4" s="1"/>
  <c r="N22" i="4"/>
  <c r="N10" i="4" s="1"/>
  <c r="O10" i="4"/>
  <c r="P22" i="4"/>
  <c r="Q22" i="4"/>
  <c r="Q10" i="4" s="1"/>
  <c r="R22" i="4"/>
  <c r="R10" i="4" s="1"/>
  <c r="D10" i="4"/>
  <c r="E4" i="4"/>
  <c r="I4" i="4"/>
  <c r="L4" i="4"/>
  <c r="Q4" i="4"/>
  <c r="D79" i="5"/>
  <c r="E79" i="5"/>
  <c r="G79" i="5"/>
  <c r="I79" i="5"/>
  <c r="J79" i="5"/>
  <c r="K79" i="5"/>
  <c r="L79" i="5"/>
  <c r="M79" i="5"/>
  <c r="M39" i="5"/>
  <c r="D39" i="5"/>
  <c r="E39" i="5"/>
  <c r="F39" i="5"/>
  <c r="H39" i="5"/>
  <c r="I39" i="5"/>
  <c r="J39" i="5"/>
  <c r="K39" i="5"/>
  <c r="L39" i="5"/>
  <c r="E10" i="5"/>
  <c r="H10" i="5"/>
  <c r="L10" i="5"/>
  <c r="E77" i="3"/>
  <c r="F78" i="3"/>
  <c r="F77" i="3" s="1"/>
  <c r="G78" i="3"/>
  <c r="G77" i="3" s="1"/>
  <c r="H77" i="3"/>
  <c r="J78" i="3"/>
  <c r="J77" i="3" s="1"/>
  <c r="K78" i="3"/>
  <c r="K77" i="3" s="1"/>
  <c r="N78" i="3"/>
  <c r="N77" i="3" s="1"/>
  <c r="O78" i="3"/>
  <c r="O77" i="3" s="1"/>
  <c r="E39" i="3"/>
  <c r="F39" i="3"/>
  <c r="G39" i="3"/>
  <c r="H39" i="3"/>
  <c r="I39" i="3"/>
  <c r="J39" i="3"/>
  <c r="K39" i="3"/>
  <c r="N39" i="3"/>
  <c r="O39" i="3"/>
  <c r="E22" i="3"/>
  <c r="F22" i="3"/>
  <c r="G22" i="3"/>
  <c r="H22" i="3"/>
  <c r="I22" i="3"/>
  <c r="J22" i="3"/>
  <c r="K22" i="3"/>
  <c r="L22" i="3"/>
  <c r="M22" i="3"/>
  <c r="N22" i="3"/>
  <c r="O22" i="3"/>
  <c r="E4" i="3"/>
  <c r="F4" i="3"/>
  <c r="J4" i="3"/>
  <c r="N4" i="3"/>
  <c r="O4" i="3"/>
  <c r="C39" i="7"/>
  <c r="C4" i="7"/>
  <c r="C39" i="6"/>
  <c r="C22" i="6"/>
  <c r="C4" i="6"/>
  <c r="C77" i="2"/>
  <c r="C22" i="2"/>
  <c r="C4" i="2"/>
  <c r="C39" i="4"/>
  <c r="C22" i="4"/>
  <c r="C22" i="5"/>
  <c r="C78" i="3"/>
  <c r="C39" i="3"/>
  <c r="C22" i="3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E78" i="1"/>
  <c r="C10" i="5" l="1"/>
  <c r="E10" i="3"/>
  <c r="P39" i="3"/>
  <c r="S39" i="4"/>
  <c r="P51" i="3"/>
  <c r="J10" i="3"/>
  <c r="F10" i="3"/>
  <c r="P17" i="3"/>
  <c r="S17" i="4"/>
  <c r="P22" i="3"/>
  <c r="S22" i="4"/>
  <c r="D78" i="1"/>
  <c r="W78" i="1" s="1"/>
  <c r="C79" i="5"/>
  <c r="C78" i="4"/>
  <c r="S78" i="4" s="1"/>
  <c r="S79" i="4"/>
  <c r="S4" i="4"/>
  <c r="C77" i="3"/>
  <c r="P77" i="3" s="1"/>
  <c r="P78" i="3"/>
  <c r="AB4" i="2"/>
  <c r="AB78" i="2"/>
  <c r="W10" i="1"/>
  <c r="P4" i="3"/>
  <c r="O10" i="3"/>
  <c r="AB10" i="2"/>
  <c r="AB17" i="2"/>
  <c r="AB22" i="2"/>
  <c r="AB39" i="2"/>
  <c r="AB77" i="2"/>
  <c r="C77" i="7"/>
  <c r="N10" i="3"/>
  <c r="S51" i="4"/>
  <c r="G10" i="3"/>
  <c r="C10" i="6"/>
  <c r="C10" i="7"/>
  <c r="C10" i="3"/>
  <c r="C10" i="2"/>
  <c r="D39" i="1"/>
  <c r="E39" i="1"/>
  <c r="F39" i="1"/>
  <c r="G39" i="1"/>
  <c r="H39" i="1"/>
  <c r="I39" i="1"/>
  <c r="J39" i="1"/>
  <c r="K39" i="1"/>
  <c r="L39" i="1"/>
  <c r="W39" i="1" s="1"/>
  <c r="M39" i="1"/>
  <c r="N39" i="1"/>
  <c r="P39" i="1"/>
  <c r="Q39" i="1"/>
  <c r="R39" i="1"/>
  <c r="S39" i="1"/>
  <c r="S10" i="4" l="1"/>
  <c r="P10" i="3"/>
</calcChain>
</file>

<file path=xl/sharedStrings.xml><?xml version="1.0" encoding="utf-8"?>
<sst xmlns="http://schemas.openxmlformats.org/spreadsheetml/2006/main" count="1135" uniqueCount="443">
  <si>
    <t>Licensed Lay Ministers</t>
  </si>
  <si>
    <t>1. Lay Pastors</t>
  </si>
  <si>
    <t>2. Eucharistic Ministers</t>
  </si>
  <si>
    <t>3. Lay Readers</t>
  </si>
  <si>
    <t>4. Lay Preachers</t>
  </si>
  <si>
    <t>5. Others</t>
  </si>
  <si>
    <t>others</t>
  </si>
  <si>
    <t>Alab</t>
  </si>
  <si>
    <t>Balili</t>
  </si>
  <si>
    <t>Bilig,</t>
  </si>
  <si>
    <t>Bontoc</t>
  </si>
  <si>
    <t>Dalikan</t>
  </si>
  <si>
    <t>Dantay</t>
  </si>
  <si>
    <t>Gonogon</t>
  </si>
  <si>
    <t>Guina-ang</t>
  </si>
  <si>
    <t>Maggon</t>
  </si>
  <si>
    <t>Mainit</t>
  </si>
  <si>
    <t>Maligcong</t>
  </si>
  <si>
    <t>Sabangan</t>
  </si>
  <si>
    <t>Samoki</t>
  </si>
  <si>
    <t>Tambingan</t>
  </si>
  <si>
    <t>Payag-eo</t>
  </si>
  <si>
    <t>Barlig</t>
  </si>
  <si>
    <t>St. Barnabas</t>
  </si>
  <si>
    <t>St. Thomas</t>
  </si>
  <si>
    <t>St. George</t>
  </si>
  <si>
    <t>All Saints Cathedral</t>
  </si>
  <si>
    <t>Holy Trinity</t>
  </si>
  <si>
    <t>St. Timothy's</t>
  </si>
  <si>
    <t>St. Augustine's</t>
  </si>
  <si>
    <t>St. Michael's</t>
  </si>
  <si>
    <t>Annunciation</t>
  </si>
  <si>
    <t>St. Joseph's</t>
  </si>
  <si>
    <t>St. Gabriel's</t>
  </si>
  <si>
    <t>Favuyan Mission</t>
  </si>
  <si>
    <t>St.Peter's</t>
  </si>
  <si>
    <t>St. Paul</t>
  </si>
  <si>
    <t xml:space="preserve">St. Matthias </t>
  </si>
  <si>
    <t>St. Agnes</t>
  </si>
  <si>
    <t>Mission</t>
  </si>
  <si>
    <t>Summary</t>
  </si>
  <si>
    <t>1st quarter 2023</t>
  </si>
  <si>
    <t>Basao</t>
  </si>
  <si>
    <t>Belwang</t>
  </si>
  <si>
    <t>Buscalan</t>
  </si>
  <si>
    <t>Loccong</t>
  </si>
  <si>
    <t>Tocucan</t>
  </si>
  <si>
    <t>Tulgao</t>
  </si>
  <si>
    <t>Bugnay</t>
  </si>
  <si>
    <t>Butbut</t>
  </si>
  <si>
    <t>Maswa</t>
  </si>
  <si>
    <t>Ngibat</t>
  </si>
  <si>
    <t>Tinglayan</t>
  </si>
  <si>
    <t>Belong</t>
  </si>
  <si>
    <t>St. Theodore's</t>
  </si>
  <si>
    <t>St. Paul's</t>
  </si>
  <si>
    <t>St. James</t>
  </si>
  <si>
    <t>Holy Cross</t>
  </si>
  <si>
    <t>Dominic's</t>
  </si>
  <si>
    <t>St. Andrew's</t>
  </si>
  <si>
    <t>St. Luke's</t>
  </si>
  <si>
    <t>St. Philip</t>
  </si>
  <si>
    <t>Agawa,</t>
  </si>
  <si>
    <t>Ambagiw</t>
  </si>
  <si>
    <t>Banguitan</t>
  </si>
  <si>
    <t>Besao</t>
  </si>
  <si>
    <t>Gueday</t>
  </si>
  <si>
    <t>Kin-iway</t>
  </si>
  <si>
    <t>Lacmaan</t>
  </si>
  <si>
    <t>Masameyeo</t>
  </si>
  <si>
    <t>Padangaan</t>
  </si>
  <si>
    <t>Payeo</t>
  </si>
  <si>
    <t>Suquib,</t>
  </si>
  <si>
    <t>St. Augustine</t>
  </si>
  <si>
    <t>St. Hippolytus</t>
  </si>
  <si>
    <t>St. Marks</t>
  </si>
  <si>
    <t>St. Anne</t>
  </si>
  <si>
    <t>St. Benidict</t>
  </si>
  <si>
    <t>St. John the Divine</t>
  </si>
  <si>
    <t>St. Basil</t>
  </si>
  <si>
    <t>St. Caroline</t>
  </si>
  <si>
    <t>St. Clement</t>
  </si>
  <si>
    <t>St. Ambrose</t>
  </si>
  <si>
    <t>Aguid</t>
  </si>
  <si>
    <t>Ambasing</t>
  </si>
  <si>
    <t>Antadao</t>
  </si>
  <si>
    <t>Bangaan</t>
  </si>
  <si>
    <t>Fedelisan</t>
  </si>
  <si>
    <t>Guesang</t>
  </si>
  <si>
    <t>Pide</t>
  </si>
  <si>
    <t>Tanulong</t>
  </si>
  <si>
    <t>Tetep-an</t>
  </si>
  <si>
    <t>Sagada</t>
  </si>
  <si>
    <t>Soyu</t>
  </si>
  <si>
    <t>Demang</t>
  </si>
  <si>
    <t>Nacagang</t>
  </si>
  <si>
    <t>Ankileng</t>
  </si>
  <si>
    <t>St. Columba</t>
  </si>
  <si>
    <t>St. Matthew</t>
  </si>
  <si>
    <t>St. Mary Magdalene</t>
  </si>
  <si>
    <t>St. Elizabeth</t>
  </si>
  <si>
    <t>St. John</t>
  </si>
  <si>
    <t>St. Mark</t>
  </si>
  <si>
    <t>St. Mary</t>
  </si>
  <si>
    <t>St. Mary the Virgin</t>
  </si>
  <si>
    <t>Corpus Christi</t>
  </si>
  <si>
    <t>St. Simon Peter</t>
  </si>
  <si>
    <t>St. Stephen</t>
  </si>
  <si>
    <t>St. aidan's</t>
  </si>
  <si>
    <t>Abatan</t>
  </si>
  <si>
    <t>Bagnen</t>
  </si>
  <si>
    <t>Bagnen Oriente</t>
  </si>
  <si>
    <t>Bebe</t>
  </si>
  <si>
    <t>Bila</t>
  </si>
  <si>
    <t>Data</t>
  </si>
  <si>
    <t>Mabaay</t>
  </si>
  <si>
    <t>Madepdepas</t>
  </si>
  <si>
    <t>Mayag</t>
  </si>
  <si>
    <t>Mount Data</t>
  </si>
  <si>
    <t>Otucan</t>
  </si>
  <si>
    <t>Sadsadan</t>
  </si>
  <si>
    <t>Cagubatan</t>
  </si>
  <si>
    <t>Pandayan</t>
  </si>
  <si>
    <t>Pangao</t>
  </si>
  <si>
    <t>Sinto</t>
  </si>
  <si>
    <t>Sengyew</t>
  </si>
  <si>
    <t>Pasbol</t>
  </si>
  <si>
    <t>Pasnadan</t>
  </si>
  <si>
    <t>Soysoyoc</t>
  </si>
  <si>
    <t>Gotang</t>
  </si>
  <si>
    <t>Holy Apostle</t>
  </si>
  <si>
    <t>St. Gregory</t>
  </si>
  <si>
    <t>St. Andrew</t>
  </si>
  <si>
    <t>Holy Innocent</t>
  </si>
  <si>
    <t>St. Gabriel</t>
  </si>
  <si>
    <t>San Luis</t>
  </si>
  <si>
    <t>San Jose</t>
  </si>
  <si>
    <t>St. Matthias</t>
  </si>
  <si>
    <t>St. Leo</t>
  </si>
  <si>
    <t>St. Francis</t>
  </si>
  <si>
    <t>St. Anselm</t>
  </si>
  <si>
    <t>St. Bernard</t>
  </si>
  <si>
    <t>San Pedro</t>
  </si>
  <si>
    <t>St. Martin</t>
  </si>
  <si>
    <t>Bantey</t>
  </si>
  <si>
    <t>Batayan</t>
  </si>
  <si>
    <t>Cabunagan</t>
  </si>
  <si>
    <t>Lubon</t>
  </si>
  <si>
    <t>Masla</t>
  </si>
  <si>
    <t>Duagan</t>
  </si>
  <si>
    <t>Sumadel</t>
  </si>
  <si>
    <t>Tadian</t>
  </si>
  <si>
    <t>Tue</t>
  </si>
  <si>
    <t>Balaoa</t>
  </si>
  <si>
    <t>Kayan</t>
  </si>
  <si>
    <t>Cervantes</t>
  </si>
  <si>
    <t>Bunga</t>
  </si>
  <si>
    <t>St. Joseph</t>
  </si>
  <si>
    <t>Epiphany</t>
  </si>
  <si>
    <t>St. Michael &amp; all angels</t>
  </si>
  <si>
    <t>St. Ignatius</t>
  </si>
  <si>
    <t>St. Catherine</t>
  </si>
  <si>
    <t>summary</t>
  </si>
  <si>
    <t>Bab-asig</t>
  </si>
  <si>
    <t>Catengan</t>
  </si>
  <si>
    <t>Dandanac</t>
  </si>
  <si>
    <t>Lamag</t>
  </si>
  <si>
    <t>Panabungen</t>
  </si>
  <si>
    <t>Patiacan</t>
  </si>
  <si>
    <t>Tamboan</t>
  </si>
  <si>
    <t>Maliten</t>
  </si>
  <si>
    <t>Pananuman</t>
  </si>
  <si>
    <t>Mabalite</t>
  </si>
  <si>
    <t>Supo</t>
  </si>
  <si>
    <t xml:space="preserve">Legleg </t>
  </si>
  <si>
    <t>St Cyril</t>
  </si>
  <si>
    <t>St. Jerome</t>
  </si>
  <si>
    <t>St. Dunstan</t>
  </si>
  <si>
    <t>St. Hilarys</t>
  </si>
  <si>
    <t>St. Bede</t>
  </si>
  <si>
    <t>St. Alfred</t>
  </si>
  <si>
    <t>St. Luke</t>
  </si>
  <si>
    <t>St. Cyprian</t>
  </si>
  <si>
    <t>St. Mathias</t>
  </si>
  <si>
    <t>EPISCOPAL DIOCESE OF NORTHERN PHILIPPINES</t>
  </si>
  <si>
    <t>quarterly report summary</t>
  </si>
  <si>
    <t>A. C E N T R A L  DEANERY</t>
  </si>
  <si>
    <t xml:space="preserve">Alab, St. Barnabas </t>
  </si>
  <si>
    <t>Balili, St. Thomas</t>
  </si>
  <si>
    <t>Barlig Mission</t>
  </si>
  <si>
    <t>Bilig, St. George</t>
  </si>
  <si>
    <t>Bontoc, All Saints Cathedral</t>
  </si>
  <si>
    <t xml:space="preserve">Dantay, St. Timothy's </t>
  </si>
  <si>
    <t>Favuyan Mission, Maligcong</t>
  </si>
  <si>
    <t xml:space="preserve">Gonogon, St. Augustine's </t>
  </si>
  <si>
    <t xml:space="preserve">Guina-ang, St. Michael's </t>
  </si>
  <si>
    <t xml:space="preserve">Maggon, Annunciation </t>
  </si>
  <si>
    <t xml:space="preserve">Mainit, St. Joseph's </t>
  </si>
  <si>
    <t xml:space="preserve">Maligcong, St. Gabriel's </t>
  </si>
  <si>
    <t xml:space="preserve">Payag-eo, St. Agnes </t>
  </si>
  <si>
    <t xml:space="preserve">Sabangan, St. Peter's </t>
  </si>
  <si>
    <t>Samoki, St. Paul</t>
  </si>
  <si>
    <t xml:space="preserve">Tambingan, St. Matthias </t>
  </si>
  <si>
    <t>B.  T I T U S   D E A N E R Y</t>
  </si>
  <si>
    <t xml:space="preserve">Basao, St. Theodore's </t>
  </si>
  <si>
    <t>Belwang, St. Paul's</t>
  </si>
  <si>
    <t xml:space="preserve">Bugnay, St. Andrew's </t>
  </si>
  <si>
    <t>Buscalan Missions</t>
  </si>
  <si>
    <t xml:space="preserve">Butbut, St. Luke's </t>
  </si>
  <si>
    <t xml:space="preserve">Loccong, St. James </t>
  </si>
  <si>
    <t>Maswa Transfiguration Mission</t>
  </si>
  <si>
    <t>Ngibat St. Philip Mission</t>
  </si>
  <si>
    <t>Tinglayan Holy Trinity</t>
  </si>
  <si>
    <t>Belong, Tinglayan Preaching stn.</t>
  </si>
  <si>
    <t xml:space="preserve">Tocucan, Holy Cross </t>
  </si>
  <si>
    <t>C.  B E S A O   D E A N E R Y</t>
  </si>
  <si>
    <t>Agawa, St. Augustine</t>
  </si>
  <si>
    <t xml:space="preserve">Ambagiw, St. Hippolytus </t>
  </si>
  <si>
    <t xml:space="preserve">Banguitan, St. Mark's </t>
  </si>
  <si>
    <t>Besao, St. Anne</t>
  </si>
  <si>
    <t>Gueday, St. Philip</t>
  </si>
  <si>
    <t>Kin-iway, St. Benedict</t>
  </si>
  <si>
    <t xml:space="preserve">Lacmaan, St. John the Divine </t>
  </si>
  <si>
    <t>Masameyeo, St. Basil</t>
  </si>
  <si>
    <t>Padangaan, St. Caroline</t>
  </si>
  <si>
    <t>Payeo, St. Clement</t>
  </si>
  <si>
    <t xml:space="preserve">Suquib, St. Ambrose </t>
  </si>
  <si>
    <t>D.  S A G A D A   D E A N E R Y</t>
  </si>
  <si>
    <t>Aguid, Ss. Ignacia &amp; Juan</t>
  </si>
  <si>
    <t>Ambasing, St. Columba</t>
  </si>
  <si>
    <t>Ankileng, St. Aidan's</t>
  </si>
  <si>
    <t xml:space="preserve">Antadao, Annunciation </t>
  </si>
  <si>
    <t>Bangaan, St. Matthew</t>
  </si>
  <si>
    <t>Demang, st. Simon Peter</t>
  </si>
  <si>
    <t>Fedelisan, St. Mary Magdalene</t>
  </si>
  <si>
    <t>Guesang, St. Elizabeth</t>
  </si>
  <si>
    <t>Nacagang, St. Stephen</t>
  </si>
  <si>
    <t xml:space="preserve">Sagada, St. Mary the Virgin </t>
  </si>
  <si>
    <t xml:space="preserve">Suyo, Corpus Christi </t>
  </si>
  <si>
    <t>Tanulong, St. Mark</t>
  </si>
  <si>
    <t>Tetep-an, St. Mary</t>
  </si>
  <si>
    <t>Pide, St. Agnes</t>
  </si>
  <si>
    <t>E.  B A U K O   D E A N E R Y</t>
  </si>
  <si>
    <t>Abatan, Holy Apostle</t>
  </si>
  <si>
    <t>Bagnen Oriente, St. Andrew'</t>
  </si>
  <si>
    <t>Bagnen, St. Gregory &amp;</t>
  </si>
  <si>
    <t>Bebe, Holy Innocent</t>
  </si>
  <si>
    <t>Bila, St. John the Evangelist</t>
  </si>
  <si>
    <t xml:space="preserve">Cagubatan, St. Francis </t>
  </si>
  <si>
    <t>Data, St. Gabriel</t>
  </si>
  <si>
    <t>Gotang, St. Martin</t>
  </si>
  <si>
    <t>Mabaay, San Luis</t>
  </si>
  <si>
    <t>Madepdepas, San Jose</t>
  </si>
  <si>
    <t>Mayag, St. Matthias</t>
  </si>
  <si>
    <t>Mount Data, St. Mary</t>
  </si>
  <si>
    <t>Otucan, St. Paul</t>
  </si>
  <si>
    <t>Pandayan, St. Anselm</t>
  </si>
  <si>
    <t>Pangao, St. Bernard</t>
  </si>
  <si>
    <t xml:space="preserve">Pasbol, San Pedro </t>
  </si>
  <si>
    <t>Pasnadan, St. John</t>
  </si>
  <si>
    <t>Sadsadan, St. Leo</t>
  </si>
  <si>
    <t>Sengyew Mission</t>
  </si>
  <si>
    <t>Sinto, St. Mark</t>
  </si>
  <si>
    <t>Soysoyoc, St. Gregory</t>
  </si>
  <si>
    <t>F.  T A D I A N   D E A N E R Y</t>
  </si>
  <si>
    <t>Balaoa, St. Thomas</t>
  </si>
  <si>
    <t xml:space="preserve">Bantey, Holy Trinity </t>
  </si>
  <si>
    <t>Batayan, Holy Innocent</t>
  </si>
  <si>
    <t>Bunga, St. Stephen</t>
  </si>
  <si>
    <t>Cabunagan, St. Francis</t>
  </si>
  <si>
    <t>Cervantes, St. Catherine</t>
  </si>
  <si>
    <t>Duagan Mission</t>
  </si>
  <si>
    <t>Kayan, St. Ignatius</t>
  </si>
  <si>
    <t>Lubon, St. Gabriel</t>
  </si>
  <si>
    <t>Masla, St. Joseph</t>
  </si>
  <si>
    <t xml:space="preserve">Sumadel, Epiphany </t>
  </si>
  <si>
    <t>Tadian, St. Michael &amp; All Angels</t>
  </si>
  <si>
    <t>Tue, St. Philip</t>
  </si>
  <si>
    <t>G.  K I N A L I   D E A N E R Y</t>
  </si>
  <si>
    <t>Bab-asig, St. Cyril</t>
  </si>
  <si>
    <t>Bunga, St. Jerome</t>
  </si>
  <si>
    <t>Catengan, St. Dunstan</t>
  </si>
  <si>
    <t>Dandanac, St. Hilarys</t>
  </si>
  <si>
    <t>Lamag, St. Joseph</t>
  </si>
  <si>
    <t xml:space="preserve">Mabalite, St. Cyprian </t>
  </si>
  <si>
    <t>Maliten, St. Luke Mission</t>
  </si>
  <si>
    <t>Panabungen, St. Bede</t>
  </si>
  <si>
    <t>Pananuman, St. Mark</t>
  </si>
  <si>
    <t>Patiacan, St. Andrew</t>
  </si>
  <si>
    <t>Supo, St. Matthias</t>
  </si>
  <si>
    <t>Tamboan, St. Alfred</t>
  </si>
  <si>
    <t>GRAND TOTAL</t>
  </si>
  <si>
    <t>Pledges/
Tithes
collected</t>
  </si>
  <si>
    <t>Plate/
Loose
Offerings</t>
  </si>
  <si>
    <t>Special/
Sacramental
Offerings</t>
  </si>
  <si>
    <t>Other
Offerings
Received</t>
  </si>
  <si>
    <t>Donations
from
Members</t>
  </si>
  <si>
    <t>Income
From
Investment</t>
  </si>
  <si>
    <t>Income
Generating
Projects</t>
  </si>
  <si>
    <t>Designated
Offerings/
Donations</t>
  </si>
  <si>
    <t>Endowment
Funds
Collected</t>
  </si>
  <si>
    <t>Total 
Revenues</t>
  </si>
  <si>
    <t>Expenditures</t>
  </si>
  <si>
    <t>Cash Balance</t>
  </si>
  <si>
    <t>Withdrawals</t>
  </si>
  <si>
    <t>Deposits</t>
  </si>
  <si>
    <t>total Cash on hand</t>
  </si>
  <si>
    <t>Balance Forwarded 2022</t>
  </si>
  <si>
    <t>Shalom</t>
  </si>
  <si>
    <t>TOTAL MEMBERSHIP(A minus B)</t>
  </si>
  <si>
    <t>Members Living in the Community</t>
  </si>
  <si>
    <t>Members living outside the Community</t>
  </si>
  <si>
    <t>Total members at the end of last Quarter</t>
  </si>
  <si>
    <t>Baptized during the Quarter</t>
  </si>
  <si>
    <t>Received during the Quarter</t>
  </si>
  <si>
    <t>Transferred in during the Quarter</t>
  </si>
  <si>
    <t>Transferred out during the Quarter</t>
  </si>
  <si>
    <t>Left for any reason during the Quarter</t>
  </si>
  <si>
    <t>Died During the Quarter</t>
  </si>
  <si>
    <t>Married during the Quarter</t>
  </si>
  <si>
    <t>Confirmed during the Quarter</t>
  </si>
  <si>
    <t>Number of Families in the Congregation</t>
  </si>
  <si>
    <t>Number of Pledgers in the Congregation</t>
  </si>
  <si>
    <t>Number of Tithers in the Congregation</t>
  </si>
  <si>
    <t>Number of Non-members regularly attending
 Church srevices during the Quarter</t>
  </si>
  <si>
    <t>RECORD FROM THE CANONICAL BOOKS(from 
the very beginning to the end of the Quarter 
being Reported)</t>
  </si>
  <si>
    <t>Number of Baptism on Record</t>
  </si>
  <si>
    <t>Number of Confirmation on Record</t>
  </si>
  <si>
    <t>Number of Reception on Record</t>
  </si>
  <si>
    <t>Number of Marriages on Record</t>
  </si>
  <si>
    <t>Number of Burials on Record</t>
  </si>
  <si>
    <t>Other on Record(Specify)</t>
  </si>
  <si>
    <t>Sunday Eucharists(Holy Mass)</t>
  </si>
  <si>
    <t>Weekday Eucharists</t>
  </si>
  <si>
    <t>Mornig Prayer</t>
  </si>
  <si>
    <t>Evening Prayer</t>
  </si>
  <si>
    <t>Confirmation Services</t>
  </si>
  <si>
    <t>Marriage Ceremonies</t>
  </si>
  <si>
    <t>Burial Services</t>
  </si>
  <si>
    <t>Blessing Services(house, Cars, etc…)</t>
  </si>
  <si>
    <t>Prayer Meeting</t>
  </si>
  <si>
    <t>Other Worship Services( Specify)</t>
  </si>
  <si>
    <t>Ministries to the Sick</t>
  </si>
  <si>
    <t>Ministries to the Bereaved</t>
  </si>
  <si>
    <t>Ministries to the Prisoners</t>
  </si>
  <si>
    <t>Relief and Rehabilitation Ministries</t>
  </si>
  <si>
    <t>Sunday School Classes</t>
  </si>
  <si>
    <t>Church Vacation Classes</t>
  </si>
  <si>
    <t>Bible Study Sessions</t>
  </si>
  <si>
    <t>Councelling</t>
  </si>
  <si>
    <t>Catechism Classes</t>
  </si>
  <si>
    <t>Other Ministries</t>
  </si>
  <si>
    <t>CHURCH ATTENDANCE</t>
  </si>
  <si>
    <t>Average Sunday Attendance during the Quarter</t>
  </si>
  <si>
    <t>Fisrt Sunday of Advent</t>
  </si>
  <si>
    <t>Christmas (Midnight &amp; Daytime)</t>
  </si>
  <si>
    <t>New Year's Day</t>
  </si>
  <si>
    <t>Ash Wednesday</t>
  </si>
  <si>
    <t>Fist Sunday in Lent</t>
  </si>
  <si>
    <t>Palm Sunday</t>
  </si>
  <si>
    <t>Maundy Thursday</t>
  </si>
  <si>
    <t>Good Friday</t>
  </si>
  <si>
    <t>Easter Sunday</t>
  </si>
  <si>
    <t>Pentecost Sunday</t>
  </si>
  <si>
    <t>Patron Feast</t>
  </si>
  <si>
    <t>INFRASTRACTURES( 1+2)</t>
  </si>
  <si>
    <t>Building sum of (1.1 to 1.3)</t>
  </si>
  <si>
    <t>Church/Chapels</t>
  </si>
  <si>
    <t>Rectories</t>
  </si>
  <si>
    <t>Halls</t>
  </si>
  <si>
    <t>Other Buildings</t>
  </si>
  <si>
    <t>Ongoing infrastructures/ Projects</t>
  </si>
  <si>
    <t>Completed infrastuctures/projects during the quarter</t>
  </si>
  <si>
    <t>VMG 2028 ACCOMPLISHMENTS</t>
  </si>
  <si>
    <t>Acquired Bibles by Church/ Congregation</t>
  </si>
  <si>
    <t>Trained Buble Study Leaders</t>
  </si>
  <si>
    <t>Number of Bible Study Participants</t>
  </si>
  <si>
    <t xml:space="preserve">Number of Shared Weekly Memory Verse </t>
  </si>
  <si>
    <t>Number of Bible Quizzes Conducted</t>
  </si>
  <si>
    <t>Christian Education Conducted(Private &amp; Public School)</t>
  </si>
  <si>
    <t>Stewarship Campaign Activities</t>
  </si>
  <si>
    <t>Music Ministry</t>
  </si>
  <si>
    <t>Lay Trainings/ Orientations Conducted</t>
  </si>
  <si>
    <t>New Missions</t>
  </si>
  <si>
    <t>Tree Planting Activities</t>
  </si>
  <si>
    <t>Number of Trees Planted</t>
  </si>
  <si>
    <t>Child Care Ministry</t>
  </si>
  <si>
    <t xml:space="preserve">Special Sunday Celebrated </t>
  </si>
  <si>
    <t>Others</t>
  </si>
  <si>
    <t>no Of student</t>
  </si>
  <si>
    <t>Bible Study  Sessions  no. of participants</t>
  </si>
  <si>
    <t>Christmas (Midnight)</t>
  </si>
  <si>
    <t>Retreats</t>
  </si>
  <si>
    <t>Balintaugan</t>
  </si>
  <si>
    <t>Saint Martin</t>
  </si>
  <si>
    <t>Christmas (Midnight )</t>
  </si>
  <si>
    <t xml:space="preserve">Dodoan </t>
  </si>
  <si>
    <t>Lenga</t>
  </si>
  <si>
    <t>number of participant</t>
  </si>
  <si>
    <t>.</t>
  </si>
  <si>
    <t>Balugan</t>
  </si>
  <si>
    <t xml:space="preserve">   no. of participant</t>
  </si>
  <si>
    <t xml:space="preserve"> Ignacia &amp; Juan</t>
  </si>
  <si>
    <t>Trained Bible Study Leaders</t>
  </si>
  <si>
    <t>Ilang</t>
  </si>
  <si>
    <t xml:space="preserve">St. John the Baptist </t>
  </si>
  <si>
    <t>New Lubon</t>
  </si>
  <si>
    <t>St. Andrews</t>
  </si>
  <si>
    <t>10 per family</t>
  </si>
  <si>
    <t>St.Marks</t>
  </si>
  <si>
    <t>Capinitan</t>
  </si>
  <si>
    <t>Dalican, Holy Trinity</t>
  </si>
  <si>
    <t xml:space="preserve">                                </t>
  </si>
  <si>
    <t xml:space="preserve"> </t>
  </si>
  <si>
    <t xml:space="preserve">  </t>
  </si>
  <si>
    <t>Lenga mission</t>
  </si>
  <si>
    <t>Lukib preaching station</t>
  </si>
  <si>
    <t>Lubon, St. Francis</t>
  </si>
  <si>
    <t>Nabitic,St.Mark</t>
  </si>
  <si>
    <t>Ilang, St. John the Baptist</t>
  </si>
  <si>
    <t>Legleg, St. Stephen Mission</t>
  </si>
  <si>
    <t>Pide, Balugan,St. John</t>
  </si>
  <si>
    <t>St.Stephen</t>
  </si>
  <si>
    <t xml:space="preserve"> , </t>
  </si>
  <si>
    <t>Lukib</t>
  </si>
  <si>
    <t>Nabitic</t>
  </si>
  <si>
    <t xml:space="preserve">                                       </t>
  </si>
  <si>
    <t xml:space="preserve">     </t>
  </si>
  <si>
    <r>
      <t>Subtotal</t>
    </r>
    <r>
      <rPr>
        <sz val="11"/>
        <color theme="1"/>
        <rFont val="Calibri"/>
        <family val="2"/>
        <scheme val="minor"/>
      </rPr>
      <t>(Sum of 1 to 4</t>
    </r>
  </si>
  <si>
    <r>
      <t>Subtotal</t>
    </r>
    <r>
      <rPr>
        <sz val="11"/>
        <color theme="1"/>
        <rFont val="Calibri"/>
        <family val="2"/>
        <scheme val="minor"/>
      </rPr>
      <t>(Sum 5 to 7)</t>
    </r>
  </si>
  <si>
    <r>
      <rPr>
        <b/>
        <sz val="11"/>
        <color theme="1"/>
        <rFont val="Calibri"/>
        <family val="2"/>
        <scheme val="minor"/>
      </rPr>
      <t xml:space="preserve">WORSHIP SERVICES DURING THE QUARTER </t>
    </r>
    <r>
      <rPr>
        <sz val="11"/>
        <color theme="1"/>
        <rFont val="Calibri"/>
        <family val="2"/>
        <scheme val="minor"/>
      </rPr>
      <t>(Sum of 1 to 10)</t>
    </r>
  </si>
  <si>
    <r>
      <rPr>
        <b/>
        <sz val="11"/>
        <color theme="1"/>
        <rFont val="Calibri"/>
        <family val="2"/>
        <scheme val="minor"/>
      </rPr>
      <t>OTHER PASTORAL MINISTRIES (</t>
    </r>
    <r>
      <rPr>
        <sz val="11"/>
        <color theme="1"/>
        <rFont val="Calibri"/>
        <family val="2"/>
        <scheme val="minor"/>
      </rPr>
      <t>Sum of 1 to 10)</t>
    </r>
  </si>
  <si>
    <t>`</t>
  </si>
  <si>
    <t>Betwagan</t>
  </si>
  <si>
    <t>Betwagan Mission</t>
  </si>
  <si>
    <t>Transfiguration church</t>
  </si>
  <si>
    <t>St. Martha</t>
  </si>
  <si>
    <t>Pangweo</t>
  </si>
  <si>
    <t>Catenga</t>
  </si>
  <si>
    <t>a</t>
  </si>
  <si>
    <t>Matibuey</t>
  </si>
  <si>
    <t>St. Polycarp</t>
  </si>
  <si>
    <t>Talubin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</si>
</sst>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theme="3"/>
      <name val="Arial"/>
      <family val="2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1" fillId="0" borderId="0" xfId="0" applyFont="1"/>
    <xf numFmtId="164" fontId="4" fillId="0" borderId="0" xfId="1" applyFont="1" applyBorder="1" applyAlignment="1"/>
    <xf numFmtId="164" fontId="4" fillId="0" borderId="0" xfId="1" applyFont="1" applyBorder="1"/>
    <xf numFmtId="164" fontId="4" fillId="0" borderId="2" xfId="1" applyFont="1" applyBorder="1"/>
    <xf numFmtId="164" fontId="4" fillId="0" borderId="0" xfId="1" applyFont="1" applyBorder="1" applyAlignment="1">
      <alignment vertical="top" wrapText="1"/>
    </xf>
    <xf numFmtId="164" fontId="4" fillId="0" borderId="0" xfId="1" applyFont="1" applyAlignment="1">
      <alignment vertical="top"/>
    </xf>
    <xf numFmtId="164" fontId="5" fillId="0" borderId="0" xfId="1" applyFont="1" applyAlignment="1">
      <alignment vertical="top"/>
    </xf>
    <xf numFmtId="164" fontId="5" fillId="0" borderId="0" xfId="1" applyFont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6" fillId="0" borderId="0" xfId="0" applyFont="1"/>
    <xf numFmtId="164" fontId="7" fillId="0" borderId="1" xfId="1" applyFont="1" applyBorder="1" applyAlignment="1"/>
    <xf numFmtId="164" fontId="6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/>
    <xf numFmtId="164" fontId="2" fillId="0" borderId="1" xfId="1" applyFont="1" applyBorder="1"/>
    <xf numFmtId="164" fontId="2" fillId="0" borderId="1" xfId="1" applyFont="1" applyBorder="1" applyAlignment="1">
      <alignment horizontal="left" vertical="top" wrapText="1"/>
    </xf>
    <xf numFmtId="164" fontId="2" fillId="0" borderId="1" xfId="1" applyFont="1" applyBorder="1" applyAlignment="1">
      <alignment horizontal="left" vertical="top"/>
    </xf>
    <xf numFmtId="164" fontId="2" fillId="0" borderId="1" xfId="1" applyFont="1" applyBorder="1" applyAlignment="1">
      <alignment vertical="top" wrapText="1"/>
    </xf>
    <xf numFmtId="164" fontId="4" fillId="0" borderId="1" xfId="1" applyFont="1" applyBorder="1" applyAlignment="1"/>
    <xf numFmtId="164" fontId="3" fillId="0" borderId="0" xfId="1" applyFont="1"/>
    <xf numFmtId="164" fontId="4" fillId="0" borderId="1" xfId="1" applyFont="1" applyFill="1" applyBorder="1" applyAlignment="1"/>
    <xf numFmtId="164" fontId="4" fillId="0" borderId="0" xfId="1" applyFont="1" applyFill="1" applyBorder="1" applyAlignment="1"/>
    <xf numFmtId="164" fontId="8" fillId="0" borderId="3" xfId="1" applyFont="1" applyBorder="1" applyAlignment="1"/>
    <xf numFmtId="164" fontId="4" fillId="0" borderId="0" xfId="1" applyFont="1" applyBorder="1" applyAlignment="1">
      <alignment horizontal="center"/>
    </xf>
    <xf numFmtId="164" fontId="8" fillId="0" borderId="1" xfId="1" applyFont="1" applyBorder="1" applyAlignment="1"/>
    <xf numFmtId="164" fontId="4" fillId="0" borderId="1" xfId="1" applyFont="1" applyBorder="1" applyAlignment="1">
      <alignment horizontal="left"/>
    </xf>
    <xf numFmtId="164" fontId="4" fillId="0" borderId="0" xfId="1" applyFont="1" applyBorder="1" applyAlignment="1">
      <alignment horizontal="left"/>
    </xf>
    <xf numFmtId="164" fontId="4" fillId="0" borderId="1" xfId="1" applyFont="1" applyBorder="1"/>
    <xf numFmtId="164" fontId="2" fillId="0" borderId="1" xfId="1" applyFont="1" applyBorder="1" applyAlignment="1">
      <alignment horizontal="center"/>
    </xf>
    <xf numFmtId="0" fontId="9" fillId="0" borderId="0" xfId="0" applyFont="1"/>
    <xf numFmtId="164" fontId="6" fillId="0" borderId="0" xfId="0" applyNumberFormat="1" applyFont="1"/>
    <xf numFmtId="3" fontId="9" fillId="0" borderId="0" xfId="0" applyNumberFormat="1" applyFont="1"/>
    <xf numFmtId="164" fontId="7" fillId="0" borderId="1" xfId="1" applyFont="1" applyFill="1" applyBorder="1" applyAlignment="1"/>
    <xf numFmtId="164" fontId="7" fillId="0" borderId="1" xfId="1" applyFont="1" applyBorder="1" applyAlignment="1">
      <alignment horizontal="left"/>
    </xf>
    <xf numFmtId="9" fontId="6" fillId="0" borderId="0" xfId="0" applyNumberFormat="1" applyFont="1"/>
    <xf numFmtId="164" fontId="7" fillId="0" borderId="1" xfId="1" applyFont="1" applyFill="1" applyBorder="1"/>
    <xf numFmtId="164" fontId="7" fillId="0" borderId="0" xfId="1" applyFont="1" applyBorder="1" applyAlignment="1"/>
    <xf numFmtId="164" fontId="10" fillId="0" borderId="1" xfId="1" applyFont="1" applyBorder="1" applyAlignment="1"/>
    <xf numFmtId="164" fontId="11" fillId="0" borderId="0" xfId="1" applyFont="1"/>
    <xf numFmtId="0" fontId="11" fillId="0" borderId="0" xfId="0" applyFont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"/>
  <sheetViews>
    <sheetView zoomScale="81" zoomScaleNormal="92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29" sqref="R29"/>
    </sheetView>
  </sheetViews>
  <sheetFormatPr defaultRowHeight="15" x14ac:dyDescent="0.25"/>
  <cols>
    <col min="1" max="1" width="8" style="15" customWidth="1"/>
    <col min="2" max="2" width="46.28515625" style="45" bestFit="1" customWidth="1"/>
    <col min="3" max="3" width="14.5703125" style="12" bestFit="1" customWidth="1"/>
    <col min="4" max="4" width="12.7109375" style="12" bestFit="1" customWidth="1"/>
    <col min="5" max="5" width="12.28515625" style="12" bestFit="1" customWidth="1"/>
    <col min="6" max="6" width="21.42578125" style="12" bestFit="1" customWidth="1"/>
    <col min="7" max="7" width="12.42578125" style="12" bestFit="1" customWidth="1"/>
    <col min="8" max="8" width="14.42578125" style="12" bestFit="1" customWidth="1"/>
    <col min="9" max="9" width="16.7109375" style="12" bestFit="1" customWidth="1"/>
    <col min="10" max="10" width="14.42578125" style="12" bestFit="1" customWidth="1"/>
    <col min="11" max="11" width="15" style="12" bestFit="1" customWidth="1"/>
    <col min="12" max="13" width="13.7109375" style="12" bestFit="1" customWidth="1"/>
    <col min="14" max="14" width="18" style="12" bestFit="1" customWidth="1"/>
    <col min="15" max="15" width="11.7109375" style="12" bestFit="1" customWidth="1"/>
    <col min="16" max="16" width="9.42578125" style="12" bestFit="1" customWidth="1"/>
    <col min="17" max="17" width="13.85546875" style="12" bestFit="1" customWidth="1"/>
    <col min="18" max="18" width="11.42578125" style="12" bestFit="1" customWidth="1"/>
    <col min="19" max="19" width="8.85546875" style="12" bestFit="1" customWidth="1"/>
    <col min="20" max="20" width="11.42578125" style="12" bestFit="1" customWidth="1"/>
    <col min="21" max="21" width="11" style="12" bestFit="1" customWidth="1"/>
    <col min="23" max="23" width="10.5703125" bestFit="1" customWidth="1"/>
  </cols>
  <sheetData>
    <row r="1" spans="1:23" x14ac:dyDescent="0.25">
      <c r="A1" s="15" t="s">
        <v>41</v>
      </c>
      <c r="B1" s="45" t="s">
        <v>426</v>
      </c>
    </row>
    <row r="2" spans="1:23" x14ac:dyDescent="0.25">
      <c r="C2" s="34" t="s">
        <v>7</v>
      </c>
      <c r="D2" s="34" t="s">
        <v>8</v>
      </c>
      <c r="E2" s="34" t="s">
        <v>9</v>
      </c>
      <c r="F2" s="34" t="s">
        <v>10</v>
      </c>
      <c r="G2" s="34" t="s">
        <v>11</v>
      </c>
      <c r="H2" s="34" t="s">
        <v>12</v>
      </c>
      <c r="I2" s="34" t="s">
        <v>13</v>
      </c>
      <c r="J2" s="34" t="s">
        <v>14</v>
      </c>
      <c r="K2" s="34" t="s">
        <v>15</v>
      </c>
      <c r="L2" s="34" t="s">
        <v>16</v>
      </c>
      <c r="M2" s="34" t="s">
        <v>17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4" t="s">
        <v>22</v>
      </c>
      <c r="T2" s="34" t="s">
        <v>433</v>
      </c>
      <c r="U2" s="34" t="s">
        <v>410</v>
      </c>
      <c r="V2" s="34" t="s">
        <v>442</v>
      </c>
      <c r="W2" s="1" t="s">
        <v>40</v>
      </c>
    </row>
    <row r="3" spans="1:23" x14ac:dyDescent="0.25">
      <c r="C3" s="34" t="s">
        <v>23</v>
      </c>
      <c r="D3" s="34" t="s">
        <v>24</v>
      </c>
      <c r="E3" s="34" t="s">
        <v>25</v>
      </c>
      <c r="F3" s="34" t="s">
        <v>26</v>
      </c>
      <c r="G3" s="34" t="s">
        <v>27</v>
      </c>
      <c r="H3" s="34" t="s">
        <v>28</v>
      </c>
      <c r="I3" s="34" t="s">
        <v>29</v>
      </c>
      <c r="J3" s="34" t="s">
        <v>30</v>
      </c>
      <c r="K3" s="34" t="s">
        <v>31</v>
      </c>
      <c r="L3" s="34" t="s">
        <v>32</v>
      </c>
      <c r="M3" s="34" t="s">
        <v>33</v>
      </c>
      <c r="N3" s="34" t="s">
        <v>34</v>
      </c>
      <c r="O3" s="34" t="s">
        <v>35</v>
      </c>
      <c r="P3" s="34" t="s">
        <v>36</v>
      </c>
      <c r="Q3" s="34" t="s">
        <v>37</v>
      </c>
      <c r="R3" s="34" t="s">
        <v>38</v>
      </c>
      <c r="S3" s="34" t="s">
        <v>39</v>
      </c>
      <c r="T3" s="34"/>
      <c r="U3" s="34" t="s">
        <v>308</v>
      </c>
      <c r="V3" s="34" t="s">
        <v>39</v>
      </c>
    </row>
    <row r="4" spans="1:23" x14ac:dyDescent="0.25">
      <c r="A4" s="10" t="s">
        <v>0</v>
      </c>
      <c r="C4" s="12">
        <v>6</v>
      </c>
      <c r="D4" s="12">
        <v>5</v>
      </c>
      <c r="E4" s="12">
        <v>3</v>
      </c>
      <c r="F4" s="12">
        <v>12</v>
      </c>
      <c r="G4" s="12">
        <v>8</v>
      </c>
      <c r="H4" s="12">
        <v>5</v>
      </c>
      <c r="I4" s="12">
        <f t="shared" ref="I4:U4" si="0">SUM(I5:I9)</f>
        <v>0</v>
      </c>
      <c r="J4" s="12">
        <v>17</v>
      </c>
      <c r="K4" s="12">
        <v>6</v>
      </c>
      <c r="L4" s="12">
        <v>5</v>
      </c>
      <c r="M4" s="12">
        <v>5</v>
      </c>
      <c r="N4" s="12">
        <f t="shared" si="0"/>
        <v>0</v>
      </c>
      <c r="O4" s="12">
        <v>6</v>
      </c>
      <c r="P4" s="12">
        <v>6</v>
      </c>
      <c r="Q4" s="12">
        <f t="shared" si="0"/>
        <v>0</v>
      </c>
      <c r="R4" s="12"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W4">
        <f>SUM(C4:U4)</f>
        <v>84</v>
      </c>
    </row>
    <row r="5" spans="1:23" x14ac:dyDescent="0.25">
      <c r="A5" s="15" t="s">
        <v>1</v>
      </c>
      <c r="W5">
        <f>SUM(C5:U5)</f>
        <v>0</v>
      </c>
    </row>
    <row r="6" spans="1:23" x14ac:dyDescent="0.25">
      <c r="A6" s="15" t="s">
        <v>2</v>
      </c>
      <c r="W6">
        <f>SUM(C6:U6)</f>
        <v>0</v>
      </c>
    </row>
    <row r="7" spans="1:23" x14ac:dyDescent="0.25">
      <c r="A7" s="15" t="s">
        <v>3</v>
      </c>
      <c r="W7">
        <f>SUM(C7:U7)</f>
        <v>0</v>
      </c>
    </row>
    <row r="8" spans="1:23" x14ac:dyDescent="0.25">
      <c r="A8" s="15" t="s">
        <v>4</v>
      </c>
      <c r="W8">
        <f>SUM(C8:U8)</f>
        <v>0</v>
      </c>
    </row>
    <row r="9" spans="1:23" x14ac:dyDescent="0.25">
      <c r="A9" s="15" t="s">
        <v>5</v>
      </c>
      <c r="F9" s="12">
        <v>5</v>
      </c>
      <c r="W9">
        <f>SUM(C9:U9)</f>
        <v>5</v>
      </c>
    </row>
    <row r="10" spans="1:23" x14ac:dyDescent="0.25">
      <c r="A10" s="10" t="s">
        <v>309</v>
      </c>
      <c r="B10" s="46"/>
      <c r="C10" s="12">
        <f>C17-C22</f>
        <v>0</v>
      </c>
      <c r="D10" s="12">
        <f t="shared" ref="D10:V10" si="1">D17-D22</f>
        <v>291</v>
      </c>
      <c r="E10" s="12">
        <f t="shared" si="1"/>
        <v>125</v>
      </c>
      <c r="F10" s="12">
        <f t="shared" si="1"/>
        <v>501</v>
      </c>
      <c r="G10" s="12">
        <f t="shared" si="1"/>
        <v>901</v>
      </c>
      <c r="H10" s="12">
        <f t="shared" si="1"/>
        <v>328</v>
      </c>
      <c r="I10" s="12">
        <f t="shared" si="1"/>
        <v>0</v>
      </c>
      <c r="J10" s="12">
        <f t="shared" si="1"/>
        <v>2</v>
      </c>
      <c r="K10" s="12">
        <f t="shared" si="1"/>
        <v>422</v>
      </c>
      <c r="L10" s="12">
        <v>627</v>
      </c>
      <c r="M10" s="12">
        <f t="shared" si="1"/>
        <v>211</v>
      </c>
      <c r="N10" s="12">
        <f t="shared" si="1"/>
        <v>29</v>
      </c>
      <c r="O10" s="12">
        <f t="shared" si="1"/>
        <v>-1</v>
      </c>
      <c r="P10" s="12">
        <f t="shared" si="1"/>
        <v>1</v>
      </c>
      <c r="Q10" s="12">
        <f t="shared" si="1"/>
        <v>285</v>
      </c>
      <c r="R10" s="12">
        <f t="shared" si="1"/>
        <v>166</v>
      </c>
      <c r="S10" s="12">
        <f t="shared" si="1"/>
        <v>27</v>
      </c>
      <c r="U10" s="12">
        <f t="shared" si="1"/>
        <v>0</v>
      </c>
      <c r="V10" s="12">
        <f t="shared" si="1"/>
        <v>26</v>
      </c>
      <c r="W10">
        <f>SUM(C10:U10)</f>
        <v>3915</v>
      </c>
    </row>
    <row r="11" spans="1:23" x14ac:dyDescent="0.25">
      <c r="A11" s="15" t="s">
        <v>310</v>
      </c>
      <c r="E11" s="12">
        <v>126</v>
      </c>
      <c r="F11" s="12">
        <v>497</v>
      </c>
      <c r="G11" s="12">
        <v>417</v>
      </c>
      <c r="H11" s="12">
        <v>101</v>
      </c>
      <c r="K11" s="12">
        <v>198</v>
      </c>
      <c r="L11" s="12">
        <v>56</v>
      </c>
      <c r="M11" s="12">
        <v>170</v>
      </c>
      <c r="N11" s="12">
        <v>17</v>
      </c>
      <c r="O11" s="12">
        <v>0</v>
      </c>
      <c r="R11" s="12">
        <v>64</v>
      </c>
      <c r="U11" s="12" t="s">
        <v>427</v>
      </c>
      <c r="V11">
        <v>26</v>
      </c>
      <c r="W11">
        <f>SUM(C11:U11)</f>
        <v>1646</v>
      </c>
    </row>
    <row r="12" spans="1:23" x14ac:dyDescent="0.25">
      <c r="A12" s="15" t="s">
        <v>311</v>
      </c>
      <c r="G12" s="12">
        <v>483</v>
      </c>
      <c r="H12" s="12">
        <v>59</v>
      </c>
      <c r="K12" s="12">
        <v>13</v>
      </c>
      <c r="L12" s="12">
        <v>62</v>
      </c>
      <c r="M12" s="12">
        <v>38</v>
      </c>
      <c r="N12" s="12">
        <v>12</v>
      </c>
      <c r="O12" s="12">
        <v>0</v>
      </c>
      <c r="R12" s="12">
        <v>19</v>
      </c>
      <c r="U12" s="12">
        <v>0</v>
      </c>
      <c r="W12">
        <f>SUM(C12:U12)</f>
        <v>686</v>
      </c>
    </row>
    <row r="13" spans="1:23" x14ac:dyDescent="0.25">
      <c r="A13" s="15">
        <v>1</v>
      </c>
      <c r="B13" s="45" t="s">
        <v>312</v>
      </c>
      <c r="C13" s="12">
        <v>0</v>
      </c>
      <c r="D13" s="12">
        <v>288</v>
      </c>
      <c r="E13" s="12">
        <v>0</v>
      </c>
      <c r="G13" s="12">
        <v>0</v>
      </c>
      <c r="H13" s="12">
        <v>165</v>
      </c>
      <c r="K13" s="12">
        <v>211</v>
      </c>
      <c r="O13" s="12">
        <v>0</v>
      </c>
      <c r="P13" s="12">
        <v>0</v>
      </c>
      <c r="Q13" s="12">
        <v>281</v>
      </c>
      <c r="R13" s="12">
        <v>83</v>
      </c>
      <c r="S13" s="12">
        <v>27</v>
      </c>
      <c r="U13" s="12">
        <v>0</v>
      </c>
      <c r="W13">
        <f>SUM(C13:U13)</f>
        <v>1055</v>
      </c>
    </row>
    <row r="14" spans="1:23" x14ac:dyDescent="0.25">
      <c r="A14" s="15">
        <v>2</v>
      </c>
      <c r="B14" s="45" t="s">
        <v>313</v>
      </c>
      <c r="C14" s="12">
        <v>3</v>
      </c>
      <c r="D14" s="12">
        <v>4</v>
      </c>
      <c r="E14" s="12">
        <v>0</v>
      </c>
      <c r="F14" s="12">
        <v>5</v>
      </c>
      <c r="G14" s="12">
        <v>2</v>
      </c>
      <c r="H14" s="12">
        <v>3</v>
      </c>
      <c r="J14" s="12">
        <v>3</v>
      </c>
      <c r="L14" s="12">
        <v>7</v>
      </c>
      <c r="M14" s="12">
        <v>5</v>
      </c>
      <c r="O14" s="12">
        <v>1</v>
      </c>
      <c r="Q14" s="12">
        <v>1</v>
      </c>
      <c r="T14" s="12">
        <v>15</v>
      </c>
      <c r="W14">
        <f>SUM(C14:U14)</f>
        <v>49</v>
      </c>
    </row>
    <row r="15" spans="1:23" x14ac:dyDescent="0.25">
      <c r="A15" s="15">
        <v>3</v>
      </c>
      <c r="B15" s="45" t="s">
        <v>314</v>
      </c>
      <c r="F15" s="12">
        <v>1</v>
      </c>
      <c r="L15" s="12">
        <v>0</v>
      </c>
      <c r="M15" s="12">
        <v>0</v>
      </c>
      <c r="P15" s="12">
        <v>2</v>
      </c>
      <c r="Q15" s="12">
        <v>3</v>
      </c>
      <c r="S15" s="12">
        <v>1</v>
      </c>
      <c r="T15" s="12">
        <v>7</v>
      </c>
      <c r="W15">
        <f>SUM(C15:U15)</f>
        <v>14</v>
      </c>
    </row>
    <row r="16" spans="1:23" x14ac:dyDescent="0.25">
      <c r="A16" s="15">
        <v>4</v>
      </c>
      <c r="B16" s="45" t="s">
        <v>315</v>
      </c>
      <c r="W16">
        <f>SUM(C16:U16)</f>
        <v>0</v>
      </c>
    </row>
    <row r="17" spans="1:23" x14ac:dyDescent="0.25">
      <c r="A17" s="10" t="s">
        <v>428</v>
      </c>
      <c r="C17" s="12">
        <f>SUM(C11:C16)</f>
        <v>3</v>
      </c>
      <c r="D17" s="12">
        <f t="shared" ref="D17:V17" si="2">SUM(D11:D16)</f>
        <v>292</v>
      </c>
      <c r="E17" s="12">
        <f t="shared" si="2"/>
        <v>126</v>
      </c>
      <c r="F17" s="12">
        <f t="shared" si="2"/>
        <v>503</v>
      </c>
      <c r="G17" s="12">
        <f t="shared" si="2"/>
        <v>902</v>
      </c>
      <c r="H17" s="12">
        <f t="shared" si="2"/>
        <v>328</v>
      </c>
      <c r="I17" s="12">
        <f t="shared" si="2"/>
        <v>0</v>
      </c>
      <c r="J17" s="12">
        <f t="shared" si="2"/>
        <v>3</v>
      </c>
      <c r="K17" s="12">
        <f t="shared" si="2"/>
        <v>422</v>
      </c>
      <c r="L17" s="12">
        <f t="shared" si="2"/>
        <v>125</v>
      </c>
      <c r="M17" s="12">
        <f t="shared" si="2"/>
        <v>213</v>
      </c>
      <c r="N17" s="12">
        <f t="shared" si="2"/>
        <v>29</v>
      </c>
      <c r="O17" s="12">
        <f t="shared" si="2"/>
        <v>1</v>
      </c>
      <c r="P17" s="12">
        <f t="shared" si="2"/>
        <v>2</v>
      </c>
      <c r="Q17" s="12">
        <f t="shared" si="2"/>
        <v>285</v>
      </c>
      <c r="R17" s="12">
        <f t="shared" si="2"/>
        <v>166</v>
      </c>
      <c r="S17" s="12">
        <f t="shared" si="2"/>
        <v>28</v>
      </c>
      <c r="U17" s="12">
        <f t="shared" si="2"/>
        <v>0</v>
      </c>
      <c r="V17" s="12">
        <f t="shared" si="2"/>
        <v>26</v>
      </c>
      <c r="W17">
        <f>SUM(C17:U17)</f>
        <v>3428</v>
      </c>
    </row>
    <row r="18" spans="1:23" x14ac:dyDescent="0.25">
      <c r="A18" s="16"/>
      <c r="B18" s="47"/>
      <c r="W18">
        <f>SUM(C18:U18)</f>
        <v>0</v>
      </c>
    </row>
    <row r="19" spans="1:23" x14ac:dyDescent="0.25">
      <c r="A19" s="15">
        <v>5</v>
      </c>
      <c r="B19" s="45" t="s">
        <v>316</v>
      </c>
      <c r="U19" s="12">
        <v>0</v>
      </c>
      <c r="W19">
        <f>SUM(C19:U19)</f>
        <v>0</v>
      </c>
    </row>
    <row r="20" spans="1:23" x14ac:dyDescent="0.25">
      <c r="A20" s="15">
        <v>6</v>
      </c>
      <c r="B20" s="45" t="s">
        <v>317</v>
      </c>
      <c r="U20" s="12">
        <v>0</v>
      </c>
      <c r="W20">
        <f>SUM(C20:U20)</f>
        <v>0</v>
      </c>
    </row>
    <row r="21" spans="1:23" x14ac:dyDescent="0.25">
      <c r="A21" s="15">
        <v>7</v>
      </c>
      <c r="B21" s="45" t="s">
        <v>318</v>
      </c>
      <c r="C21" s="12">
        <v>3</v>
      </c>
      <c r="D21" s="12">
        <v>1</v>
      </c>
      <c r="E21" s="12">
        <v>1</v>
      </c>
      <c r="F21" s="12">
        <v>2</v>
      </c>
      <c r="G21" s="12">
        <v>1</v>
      </c>
      <c r="J21" s="12">
        <v>1</v>
      </c>
      <c r="L21" s="12">
        <v>2</v>
      </c>
      <c r="M21" s="12">
        <v>2</v>
      </c>
      <c r="O21" s="12">
        <v>2</v>
      </c>
      <c r="P21" s="12">
        <v>1</v>
      </c>
      <c r="Q21" s="12">
        <v>0</v>
      </c>
      <c r="S21" s="12">
        <v>1</v>
      </c>
      <c r="U21" s="12">
        <v>0</v>
      </c>
      <c r="W21">
        <f>SUM(C21:U21)</f>
        <v>17</v>
      </c>
    </row>
    <row r="22" spans="1:23" x14ac:dyDescent="0.25">
      <c r="A22" s="10" t="s">
        <v>429</v>
      </c>
      <c r="C22" s="12">
        <f>SUM(C19:C21)</f>
        <v>3</v>
      </c>
      <c r="D22" s="12">
        <f t="shared" ref="D22:V22" si="3">SUM(D19:D21)</f>
        <v>1</v>
      </c>
      <c r="E22" s="12">
        <f t="shared" si="3"/>
        <v>1</v>
      </c>
      <c r="F22" s="12">
        <f t="shared" si="3"/>
        <v>2</v>
      </c>
      <c r="G22" s="12">
        <f t="shared" si="3"/>
        <v>1</v>
      </c>
      <c r="H22" s="12">
        <f t="shared" si="3"/>
        <v>0</v>
      </c>
      <c r="I22" s="12">
        <f t="shared" si="3"/>
        <v>0</v>
      </c>
      <c r="J22" s="12">
        <f t="shared" si="3"/>
        <v>1</v>
      </c>
      <c r="K22" s="12">
        <f t="shared" si="3"/>
        <v>0</v>
      </c>
      <c r="L22" s="12">
        <f t="shared" si="3"/>
        <v>2</v>
      </c>
      <c r="M22" s="12">
        <f t="shared" si="3"/>
        <v>2</v>
      </c>
      <c r="N22" s="12">
        <f t="shared" si="3"/>
        <v>0</v>
      </c>
      <c r="O22" s="12">
        <f t="shared" si="3"/>
        <v>2</v>
      </c>
      <c r="P22" s="12">
        <f t="shared" si="3"/>
        <v>1</v>
      </c>
      <c r="Q22" s="12">
        <f t="shared" si="3"/>
        <v>0</v>
      </c>
      <c r="R22" s="12">
        <f t="shared" si="3"/>
        <v>0</v>
      </c>
      <c r="S22" s="12">
        <f t="shared" si="3"/>
        <v>1</v>
      </c>
      <c r="U22" s="12">
        <f t="shared" si="3"/>
        <v>0</v>
      </c>
      <c r="V22" s="12">
        <f t="shared" si="3"/>
        <v>0</v>
      </c>
      <c r="W22">
        <f>SUM(C22:U22)</f>
        <v>17</v>
      </c>
    </row>
    <row r="23" spans="1:23" x14ac:dyDescent="0.25">
      <c r="W23">
        <f>SUM(C23:U23)</f>
        <v>0</v>
      </c>
    </row>
    <row r="24" spans="1:23" x14ac:dyDescent="0.25">
      <c r="A24" s="16">
        <v>8</v>
      </c>
      <c r="B24" s="47" t="s">
        <v>319</v>
      </c>
      <c r="C24" s="12">
        <v>1</v>
      </c>
      <c r="F24" s="12">
        <v>4</v>
      </c>
      <c r="J24" s="12">
        <v>1</v>
      </c>
      <c r="P24" s="12">
        <v>2</v>
      </c>
      <c r="T24" s="12">
        <v>1</v>
      </c>
      <c r="W24">
        <f>SUM(C24:U24)</f>
        <v>9</v>
      </c>
    </row>
    <row r="25" spans="1:23" x14ac:dyDescent="0.25">
      <c r="A25" s="16">
        <v>9</v>
      </c>
      <c r="B25" s="47" t="s">
        <v>320</v>
      </c>
      <c r="E25" s="12">
        <v>6</v>
      </c>
      <c r="F25" s="12">
        <v>14</v>
      </c>
      <c r="H25" s="12">
        <v>8</v>
      </c>
      <c r="L25" s="12">
        <v>157</v>
      </c>
      <c r="M25" s="12">
        <v>12</v>
      </c>
      <c r="P25" s="12">
        <v>12</v>
      </c>
      <c r="Q25" s="12">
        <v>17</v>
      </c>
      <c r="S25" s="12">
        <v>2</v>
      </c>
      <c r="T25" s="12">
        <v>1</v>
      </c>
      <c r="W25">
        <f>SUM(C25:U25)</f>
        <v>229</v>
      </c>
    </row>
    <row r="26" spans="1:23" x14ac:dyDescent="0.25">
      <c r="A26" s="15">
        <v>10</v>
      </c>
      <c r="B26" s="45" t="s">
        <v>321</v>
      </c>
      <c r="C26" s="12">
        <v>0</v>
      </c>
      <c r="E26" s="12">
        <v>0</v>
      </c>
      <c r="F26" s="12">
        <v>237</v>
      </c>
      <c r="G26" s="12">
        <v>104</v>
      </c>
      <c r="H26" s="12">
        <v>46</v>
      </c>
      <c r="K26" s="12">
        <v>53</v>
      </c>
      <c r="L26" s="12">
        <v>37</v>
      </c>
      <c r="O26" s="12">
        <v>49</v>
      </c>
      <c r="P26" s="12">
        <v>70</v>
      </c>
      <c r="Q26" s="12">
        <v>38</v>
      </c>
      <c r="R26" s="12">
        <v>20</v>
      </c>
      <c r="S26" s="12">
        <v>9</v>
      </c>
      <c r="U26" s="12">
        <v>7</v>
      </c>
      <c r="V26" s="12">
        <v>9</v>
      </c>
      <c r="W26">
        <f>SUM(C26:V26)</f>
        <v>679</v>
      </c>
    </row>
    <row r="27" spans="1:23" x14ac:dyDescent="0.25">
      <c r="A27" s="16">
        <v>11</v>
      </c>
      <c r="B27" s="47" t="s">
        <v>322</v>
      </c>
      <c r="E27" s="12">
        <v>31</v>
      </c>
      <c r="F27" s="12">
        <v>22</v>
      </c>
      <c r="G27" s="12">
        <v>0</v>
      </c>
      <c r="H27" s="12">
        <v>10</v>
      </c>
      <c r="K27" s="12">
        <v>62</v>
      </c>
      <c r="L27" s="12">
        <v>0</v>
      </c>
      <c r="M27" s="12">
        <v>50</v>
      </c>
      <c r="N27" s="12">
        <v>13</v>
      </c>
      <c r="O27" s="12">
        <v>20</v>
      </c>
      <c r="P27" s="12">
        <v>17</v>
      </c>
      <c r="Q27" s="12">
        <v>9</v>
      </c>
      <c r="R27" s="12">
        <v>4</v>
      </c>
      <c r="S27" s="12">
        <v>3</v>
      </c>
      <c r="U27" s="12">
        <v>14</v>
      </c>
      <c r="W27">
        <f>SUM(C27:U27)</f>
        <v>255</v>
      </c>
    </row>
    <row r="28" spans="1:23" x14ac:dyDescent="0.25">
      <c r="A28" s="16">
        <v>12</v>
      </c>
      <c r="B28" s="47" t="s">
        <v>323</v>
      </c>
      <c r="E28" s="12">
        <v>15</v>
      </c>
      <c r="F28" s="12">
        <v>26</v>
      </c>
      <c r="P28" s="12">
        <v>1</v>
      </c>
      <c r="U28" s="12">
        <v>0</v>
      </c>
      <c r="W28">
        <f>SUM(C28:U28)</f>
        <v>42</v>
      </c>
    </row>
    <row r="29" spans="1:23" ht="30" customHeight="1" x14ac:dyDescent="0.25">
      <c r="A29" s="16">
        <v>13</v>
      </c>
      <c r="B29" s="47" t="s">
        <v>324</v>
      </c>
      <c r="E29" s="12">
        <v>40</v>
      </c>
      <c r="F29" s="12">
        <v>60</v>
      </c>
      <c r="G29" s="12">
        <v>5</v>
      </c>
      <c r="H29" s="12">
        <v>4</v>
      </c>
      <c r="I29" s="12">
        <v>2</v>
      </c>
      <c r="K29" s="12">
        <v>3</v>
      </c>
      <c r="M29" s="12">
        <v>1</v>
      </c>
      <c r="N29" s="12">
        <v>0</v>
      </c>
      <c r="O29" s="12">
        <v>5</v>
      </c>
      <c r="Q29" s="12">
        <v>3</v>
      </c>
      <c r="R29" s="12">
        <v>0</v>
      </c>
      <c r="W29">
        <f>SUM(C29:V29)</f>
        <v>123</v>
      </c>
    </row>
    <row r="30" spans="1:23" x14ac:dyDescent="0.25">
      <c r="W30">
        <f t="shared" ref="W30:W93" si="4">SUM(C30:V30)</f>
        <v>0</v>
      </c>
    </row>
    <row r="31" spans="1:23" ht="45" x14ac:dyDescent="0.25">
      <c r="B31" s="48" t="s">
        <v>325</v>
      </c>
      <c r="W31">
        <f t="shared" si="4"/>
        <v>0</v>
      </c>
    </row>
    <row r="32" spans="1:23" x14ac:dyDescent="0.25">
      <c r="A32" s="15">
        <v>1</v>
      </c>
      <c r="B32" s="47" t="s">
        <v>326</v>
      </c>
      <c r="D32" s="12">
        <v>1</v>
      </c>
      <c r="E32" s="12">
        <v>0</v>
      </c>
      <c r="F32" s="12">
        <v>5747</v>
      </c>
      <c r="G32" s="12">
        <v>1152</v>
      </c>
      <c r="H32" s="12">
        <v>215</v>
      </c>
      <c r="J32" s="12">
        <v>0</v>
      </c>
      <c r="K32" s="12">
        <v>211</v>
      </c>
      <c r="L32" s="12">
        <v>3494</v>
      </c>
      <c r="O32" s="12">
        <v>77</v>
      </c>
      <c r="P32" s="12">
        <v>71</v>
      </c>
      <c r="Q32" s="12">
        <v>35</v>
      </c>
      <c r="T32" s="12">
        <v>3</v>
      </c>
      <c r="U32" s="12">
        <v>13</v>
      </c>
      <c r="W32">
        <f t="shared" si="4"/>
        <v>11019</v>
      </c>
    </row>
    <row r="33" spans="1:23" x14ac:dyDescent="0.25">
      <c r="A33" s="15">
        <v>2</v>
      </c>
      <c r="B33" s="47" t="s">
        <v>327</v>
      </c>
      <c r="E33" s="12">
        <v>0</v>
      </c>
      <c r="F33" s="12">
        <v>1169</v>
      </c>
      <c r="G33" s="12">
        <v>0</v>
      </c>
      <c r="H33" s="12">
        <v>68</v>
      </c>
      <c r="K33" s="12">
        <v>83</v>
      </c>
      <c r="L33" s="12">
        <v>366</v>
      </c>
      <c r="O33" s="12">
        <v>14</v>
      </c>
      <c r="P33" s="12">
        <v>55</v>
      </c>
      <c r="Q33" s="12">
        <v>8</v>
      </c>
      <c r="T33" s="12">
        <v>1</v>
      </c>
      <c r="U33" s="12">
        <v>0</v>
      </c>
      <c r="W33">
        <f t="shared" si="4"/>
        <v>1764</v>
      </c>
    </row>
    <row r="34" spans="1:23" x14ac:dyDescent="0.25">
      <c r="A34" s="15">
        <v>3</v>
      </c>
      <c r="B34" s="47" t="s">
        <v>328</v>
      </c>
      <c r="E34" s="12">
        <v>0</v>
      </c>
      <c r="F34" s="12">
        <v>7</v>
      </c>
      <c r="H34" s="12">
        <v>4</v>
      </c>
      <c r="K34" s="12">
        <v>38</v>
      </c>
      <c r="O34" s="12">
        <v>10</v>
      </c>
      <c r="P34" s="12">
        <v>8</v>
      </c>
      <c r="T34" s="12">
        <v>1</v>
      </c>
      <c r="U34" s="12">
        <v>4</v>
      </c>
      <c r="W34">
        <f t="shared" si="4"/>
        <v>72</v>
      </c>
    </row>
    <row r="35" spans="1:23" x14ac:dyDescent="0.25">
      <c r="A35" s="16">
        <v>4</v>
      </c>
      <c r="B35" s="47" t="s">
        <v>329</v>
      </c>
      <c r="E35" s="12">
        <v>0</v>
      </c>
      <c r="F35" s="12">
        <v>552</v>
      </c>
      <c r="G35" s="12">
        <v>0</v>
      </c>
      <c r="H35" s="12">
        <v>13</v>
      </c>
      <c r="K35" s="12">
        <v>32</v>
      </c>
      <c r="L35" s="12">
        <v>40</v>
      </c>
      <c r="O35" s="12">
        <v>41</v>
      </c>
      <c r="P35" s="12">
        <v>14</v>
      </c>
      <c r="T35" s="12">
        <v>1</v>
      </c>
      <c r="W35">
        <f t="shared" si="4"/>
        <v>693</v>
      </c>
    </row>
    <row r="36" spans="1:23" x14ac:dyDescent="0.25">
      <c r="A36" s="16">
        <v>5</v>
      </c>
      <c r="B36" s="47" t="s">
        <v>330</v>
      </c>
      <c r="D36" s="12">
        <v>1</v>
      </c>
      <c r="E36" s="12">
        <v>0</v>
      </c>
      <c r="F36" s="12">
        <v>1011</v>
      </c>
      <c r="H36" s="12">
        <v>53</v>
      </c>
      <c r="J36" s="12">
        <v>0</v>
      </c>
      <c r="K36" s="12">
        <v>51</v>
      </c>
      <c r="L36" s="12">
        <v>69</v>
      </c>
      <c r="O36" s="12">
        <v>77</v>
      </c>
      <c r="P36" s="12">
        <v>45</v>
      </c>
      <c r="U36" s="12">
        <v>3</v>
      </c>
      <c r="W36">
        <f t="shared" si="4"/>
        <v>1310</v>
      </c>
    </row>
    <row r="37" spans="1:23" x14ac:dyDescent="0.25">
      <c r="A37" s="15">
        <v>6</v>
      </c>
      <c r="B37" s="47" t="s">
        <v>331</v>
      </c>
      <c r="Q37" s="12">
        <v>2</v>
      </c>
      <c r="W37">
        <f t="shared" si="4"/>
        <v>2</v>
      </c>
    </row>
    <row r="38" spans="1:23" x14ac:dyDescent="0.25">
      <c r="W38">
        <f t="shared" si="4"/>
        <v>0</v>
      </c>
    </row>
    <row r="39" spans="1:23" x14ac:dyDescent="0.25">
      <c r="A39" s="15" t="s">
        <v>430</v>
      </c>
      <c r="C39" s="12">
        <f>SUM(C40:C49)</f>
        <v>31</v>
      </c>
      <c r="D39" s="12">
        <f t="shared" ref="D39:V39" si="5">SUM(D40:D49)</f>
        <v>34</v>
      </c>
      <c r="E39" s="12">
        <f t="shared" si="5"/>
        <v>22</v>
      </c>
      <c r="F39" s="12">
        <f t="shared" si="5"/>
        <v>274</v>
      </c>
      <c r="G39" s="12">
        <f t="shared" si="5"/>
        <v>17</v>
      </c>
      <c r="H39" s="12">
        <f t="shared" si="5"/>
        <v>19</v>
      </c>
      <c r="I39" s="12">
        <f t="shared" si="5"/>
        <v>15</v>
      </c>
      <c r="J39" s="12">
        <f t="shared" si="5"/>
        <v>27</v>
      </c>
      <c r="K39" s="12">
        <f t="shared" si="5"/>
        <v>16</v>
      </c>
      <c r="L39" s="12">
        <f t="shared" si="5"/>
        <v>17</v>
      </c>
      <c r="M39" s="12">
        <f t="shared" si="5"/>
        <v>21</v>
      </c>
      <c r="N39" s="12">
        <f t="shared" si="5"/>
        <v>14</v>
      </c>
      <c r="O39" s="12">
        <f t="shared" si="5"/>
        <v>34</v>
      </c>
      <c r="P39" s="12">
        <f t="shared" si="5"/>
        <v>45</v>
      </c>
      <c r="Q39" s="12">
        <f t="shared" si="5"/>
        <v>22</v>
      </c>
      <c r="R39" s="12">
        <f t="shared" si="5"/>
        <v>17</v>
      </c>
      <c r="S39" s="12">
        <f t="shared" si="5"/>
        <v>16</v>
      </c>
      <c r="T39" s="12">
        <f t="shared" si="5"/>
        <v>17</v>
      </c>
      <c r="U39" s="12">
        <f t="shared" si="5"/>
        <v>16</v>
      </c>
      <c r="V39" s="12">
        <f t="shared" si="5"/>
        <v>12</v>
      </c>
      <c r="W39">
        <f t="shared" si="4"/>
        <v>686</v>
      </c>
    </row>
    <row r="40" spans="1:23" x14ac:dyDescent="0.25">
      <c r="A40" s="15">
        <v>1</v>
      </c>
      <c r="B40" s="47" t="s">
        <v>332</v>
      </c>
      <c r="C40" s="12">
        <v>12</v>
      </c>
      <c r="D40" s="12">
        <v>13</v>
      </c>
      <c r="E40" s="12">
        <v>12</v>
      </c>
      <c r="F40" s="12">
        <v>39</v>
      </c>
      <c r="G40" s="12">
        <v>13</v>
      </c>
      <c r="H40" s="12">
        <v>13</v>
      </c>
      <c r="I40" s="12">
        <v>13</v>
      </c>
      <c r="J40" s="12">
        <v>13</v>
      </c>
      <c r="K40" s="12">
        <v>12</v>
      </c>
      <c r="L40" s="12">
        <v>13</v>
      </c>
      <c r="M40" s="12">
        <v>13</v>
      </c>
      <c r="N40" s="12">
        <v>12</v>
      </c>
      <c r="O40" s="12">
        <v>13</v>
      </c>
      <c r="P40" s="12">
        <v>13</v>
      </c>
      <c r="Q40" s="12">
        <v>17</v>
      </c>
      <c r="R40" s="12">
        <v>13</v>
      </c>
      <c r="S40" s="12">
        <v>13</v>
      </c>
      <c r="T40" s="12">
        <v>13</v>
      </c>
      <c r="U40" s="12">
        <v>13</v>
      </c>
      <c r="V40" s="12">
        <v>11</v>
      </c>
      <c r="W40">
        <f t="shared" si="4"/>
        <v>284</v>
      </c>
    </row>
    <row r="41" spans="1:23" x14ac:dyDescent="0.25">
      <c r="A41" s="15">
        <v>2</v>
      </c>
      <c r="B41" s="47" t="s">
        <v>333</v>
      </c>
      <c r="C41" s="12">
        <v>2</v>
      </c>
      <c r="D41" s="12">
        <v>11</v>
      </c>
      <c r="E41" s="12">
        <v>0</v>
      </c>
      <c r="F41" s="12">
        <v>99</v>
      </c>
      <c r="G41" s="12">
        <v>4</v>
      </c>
      <c r="H41" s="12">
        <v>1</v>
      </c>
      <c r="K41" s="12">
        <v>3</v>
      </c>
      <c r="L41" s="12">
        <v>2</v>
      </c>
      <c r="M41" s="12">
        <v>4</v>
      </c>
      <c r="N41" s="12">
        <v>2</v>
      </c>
      <c r="O41" s="12">
        <v>0</v>
      </c>
      <c r="P41" s="12">
        <v>13</v>
      </c>
      <c r="Q41" s="12">
        <v>5</v>
      </c>
      <c r="R41" s="12">
        <v>2</v>
      </c>
      <c r="S41" s="12">
        <v>2</v>
      </c>
      <c r="V41" s="12">
        <v>1</v>
      </c>
      <c r="W41">
        <f t="shared" si="4"/>
        <v>151</v>
      </c>
    </row>
    <row r="42" spans="1:23" x14ac:dyDescent="0.25">
      <c r="A42" s="15">
        <v>3</v>
      </c>
      <c r="B42" s="47" t="s">
        <v>334</v>
      </c>
      <c r="C42" s="12">
        <v>0</v>
      </c>
      <c r="D42" s="12">
        <v>1</v>
      </c>
      <c r="E42" s="12">
        <v>1</v>
      </c>
      <c r="F42" s="12">
        <v>52</v>
      </c>
      <c r="P42" s="12">
        <v>13</v>
      </c>
      <c r="R42" s="12">
        <v>0</v>
      </c>
      <c r="U42" s="12">
        <v>1</v>
      </c>
      <c r="W42">
        <f t="shared" si="4"/>
        <v>68</v>
      </c>
    </row>
    <row r="43" spans="1:23" x14ac:dyDescent="0.25">
      <c r="A43" s="15">
        <v>4</v>
      </c>
      <c r="B43" s="47" t="s">
        <v>335</v>
      </c>
      <c r="D43" s="12">
        <v>0</v>
      </c>
      <c r="E43" s="12">
        <v>0</v>
      </c>
      <c r="F43" s="12">
        <v>18</v>
      </c>
      <c r="N43" s="12">
        <v>0</v>
      </c>
      <c r="R43" s="12">
        <v>1</v>
      </c>
      <c r="W43">
        <f t="shared" si="4"/>
        <v>19</v>
      </c>
    </row>
    <row r="44" spans="1:23" x14ac:dyDescent="0.25">
      <c r="A44" s="15">
        <v>5</v>
      </c>
      <c r="B44" s="47" t="s">
        <v>336</v>
      </c>
      <c r="E44" s="12">
        <v>0</v>
      </c>
      <c r="F44" s="12">
        <v>3</v>
      </c>
      <c r="H44" s="12">
        <v>4</v>
      </c>
      <c r="K44" s="12">
        <v>1</v>
      </c>
      <c r="M44" s="12">
        <v>1</v>
      </c>
      <c r="P44" s="12">
        <v>1</v>
      </c>
      <c r="T44" s="12">
        <v>1</v>
      </c>
      <c r="W44">
        <f t="shared" si="4"/>
        <v>11</v>
      </c>
    </row>
    <row r="45" spans="1:23" x14ac:dyDescent="0.25">
      <c r="A45" s="15">
        <v>6</v>
      </c>
      <c r="B45" s="47" t="s">
        <v>337</v>
      </c>
      <c r="D45" s="12">
        <v>0</v>
      </c>
      <c r="F45" s="12">
        <v>8</v>
      </c>
      <c r="I45" s="12">
        <v>2</v>
      </c>
      <c r="J45" s="12">
        <v>1</v>
      </c>
      <c r="P45" s="12">
        <v>2</v>
      </c>
      <c r="T45" s="12">
        <v>1</v>
      </c>
      <c r="W45">
        <f t="shared" si="4"/>
        <v>14</v>
      </c>
    </row>
    <row r="46" spans="1:23" x14ac:dyDescent="0.25">
      <c r="A46" s="15">
        <v>7</v>
      </c>
      <c r="B46" s="47" t="s">
        <v>338</v>
      </c>
      <c r="C46" s="12">
        <v>3</v>
      </c>
      <c r="D46" s="12">
        <v>1</v>
      </c>
      <c r="E46" s="12">
        <v>1</v>
      </c>
      <c r="F46" s="12">
        <v>8</v>
      </c>
      <c r="J46" s="12">
        <v>11</v>
      </c>
      <c r="M46" s="12">
        <v>2</v>
      </c>
      <c r="O46" s="12">
        <v>2</v>
      </c>
      <c r="P46" s="12">
        <v>1</v>
      </c>
      <c r="R46" s="12">
        <v>0</v>
      </c>
      <c r="W46">
        <f t="shared" si="4"/>
        <v>29</v>
      </c>
    </row>
    <row r="47" spans="1:23" x14ac:dyDescent="0.25">
      <c r="A47" s="15">
        <v>8</v>
      </c>
      <c r="B47" s="47" t="s">
        <v>339</v>
      </c>
      <c r="C47" s="12">
        <v>4</v>
      </c>
      <c r="D47" s="12">
        <v>7</v>
      </c>
      <c r="E47" s="12">
        <v>0</v>
      </c>
      <c r="F47" s="12">
        <v>5</v>
      </c>
      <c r="H47" s="12">
        <v>1</v>
      </c>
      <c r="J47" s="12">
        <v>2</v>
      </c>
      <c r="K47" s="12">
        <v>0</v>
      </c>
      <c r="L47" s="12">
        <v>1</v>
      </c>
      <c r="O47" s="12">
        <v>1</v>
      </c>
      <c r="P47" s="12">
        <v>2</v>
      </c>
      <c r="R47" s="12">
        <v>1</v>
      </c>
      <c r="W47">
        <f t="shared" si="4"/>
        <v>24</v>
      </c>
    </row>
    <row r="48" spans="1:23" x14ac:dyDescent="0.25">
      <c r="A48" s="15">
        <v>9</v>
      </c>
      <c r="B48" s="47" t="s">
        <v>340</v>
      </c>
      <c r="C48" s="12">
        <v>3</v>
      </c>
      <c r="E48" s="12">
        <v>3</v>
      </c>
      <c r="H48" s="12">
        <v>0</v>
      </c>
      <c r="O48" s="12">
        <v>0</v>
      </c>
      <c r="P48" s="12">
        <v>0</v>
      </c>
      <c r="Q48" s="12">
        <v>0</v>
      </c>
      <c r="W48">
        <f t="shared" si="4"/>
        <v>6</v>
      </c>
    </row>
    <row r="49" spans="1:23" x14ac:dyDescent="0.25">
      <c r="A49" s="15">
        <v>10</v>
      </c>
      <c r="B49" s="47" t="s">
        <v>341</v>
      </c>
      <c r="C49" s="12">
        <v>7</v>
      </c>
      <c r="D49" s="12">
        <v>1</v>
      </c>
      <c r="E49" s="12">
        <v>5</v>
      </c>
      <c r="F49" s="12">
        <v>42</v>
      </c>
      <c r="L49" s="12">
        <v>1</v>
      </c>
      <c r="M49" s="12">
        <v>1</v>
      </c>
      <c r="O49" s="12">
        <v>18</v>
      </c>
      <c r="Q49" s="12">
        <v>0</v>
      </c>
      <c r="S49" s="12">
        <v>1</v>
      </c>
      <c r="T49" s="12">
        <v>2</v>
      </c>
      <c r="U49" s="12">
        <v>2</v>
      </c>
      <c r="W49">
        <f t="shared" si="4"/>
        <v>80</v>
      </c>
    </row>
    <row r="50" spans="1:23" x14ac:dyDescent="0.25">
      <c r="W50">
        <f t="shared" si="4"/>
        <v>0</v>
      </c>
    </row>
    <row r="51" spans="1:23" x14ac:dyDescent="0.25">
      <c r="A51" s="15" t="s">
        <v>431</v>
      </c>
      <c r="C51" s="12">
        <f>SUM(C52:C63)</f>
        <v>251</v>
      </c>
      <c r="D51" s="12">
        <f>SUM(D52:D63)</f>
        <v>6</v>
      </c>
      <c r="F51" s="12">
        <f t="shared" ref="F51:P51" si="6">SUM(F52:F63)</f>
        <v>239</v>
      </c>
      <c r="G51" s="12">
        <f t="shared" si="6"/>
        <v>8</v>
      </c>
      <c r="H51" s="12">
        <f t="shared" si="6"/>
        <v>94</v>
      </c>
      <c r="I51" s="12">
        <f t="shared" si="6"/>
        <v>39</v>
      </c>
      <c r="J51" s="12">
        <f t="shared" si="6"/>
        <v>78</v>
      </c>
      <c r="K51" s="12">
        <f t="shared" si="6"/>
        <v>27</v>
      </c>
      <c r="L51" s="12">
        <f t="shared" si="6"/>
        <v>14</v>
      </c>
      <c r="M51" s="12">
        <f t="shared" si="6"/>
        <v>65</v>
      </c>
      <c r="N51" s="12">
        <f t="shared" si="6"/>
        <v>22</v>
      </c>
      <c r="O51" s="12">
        <f t="shared" si="6"/>
        <v>92</v>
      </c>
      <c r="P51" s="12">
        <f t="shared" si="6"/>
        <v>25</v>
      </c>
      <c r="R51" s="12">
        <v>0</v>
      </c>
      <c r="S51" s="12">
        <f>SUM(S52:S63)</f>
        <v>5</v>
      </c>
      <c r="U51" s="12">
        <v>0</v>
      </c>
      <c r="V51" s="12">
        <v>0</v>
      </c>
      <c r="W51">
        <f t="shared" si="4"/>
        <v>965</v>
      </c>
    </row>
    <row r="52" spans="1:23" x14ac:dyDescent="0.25">
      <c r="A52" s="15">
        <v>1</v>
      </c>
      <c r="B52" s="47" t="s">
        <v>342</v>
      </c>
      <c r="C52" s="12">
        <v>3</v>
      </c>
      <c r="D52" s="12">
        <v>1</v>
      </c>
      <c r="E52" s="12">
        <v>3</v>
      </c>
      <c r="F52" s="12">
        <v>71</v>
      </c>
      <c r="G52" s="12">
        <v>1</v>
      </c>
      <c r="H52" s="12">
        <v>1</v>
      </c>
      <c r="J52" s="12">
        <v>9</v>
      </c>
      <c r="K52" s="12">
        <v>3</v>
      </c>
      <c r="M52" s="12">
        <v>13</v>
      </c>
      <c r="O52" s="12">
        <v>13</v>
      </c>
      <c r="P52" s="12">
        <v>2</v>
      </c>
      <c r="Q52" s="12">
        <v>0</v>
      </c>
      <c r="R52" s="12">
        <v>1</v>
      </c>
      <c r="S52" s="12">
        <v>1</v>
      </c>
      <c r="T52" s="12">
        <v>5</v>
      </c>
      <c r="U52" s="12">
        <v>5</v>
      </c>
      <c r="W52">
        <f t="shared" si="4"/>
        <v>132</v>
      </c>
    </row>
    <row r="53" spans="1:23" x14ac:dyDescent="0.25">
      <c r="A53" s="15">
        <v>2</v>
      </c>
      <c r="B53" s="47" t="s">
        <v>343</v>
      </c>
      <c r="C53" s="12">
        <v>0</v>
      </c>
      <c r="D53" s="12">
        <v>3</v>
      </c>
      <c r="E53" s="12">
        <v>1</v>
      </c>
      <c r="F53" s="12">
        <v>3</v>
      </c>
      <c r="G53" s="12">
        <v>0</v>
      </c>
      <c r="J53" s="12">
        <v>3</v>
      </c>
      <c r="K53" s="12">
        <v>14</v>
      </c>
      <c r="L53" s="12">
        <v>1</v>
      </c>
      <c r="M53" s="12">
        <v>3</v>
      </c>
      <c r="O53" s="12">
        <v>2</v>
      </c>
      <c r="P53" s="12">
        <v>2</v>
      </c>
      <c r="S53" s="12">
        <v>2</v>
      </c>
      <c r="T53" s="12">
        <v>1</v>
      </c>
      <c r="W53">
        <f t="shared" si="4"/>
        <v>35</v>
      </c>
    </row>
    <row r="54" spans="1:23" x14ac:dyDescent="0.25">
      <c r="A54" s="15">
        <v>3</v>
      </c>
      <c r="B54" s="47" t="s">
        <v>344</v>
      </c>
      <c r="C54" s="12">
        <v>0</v>
      </c>
      <c r="F54" s="12">
        <v>0</v>
      </c>
      <c r="H54" s="12">
        <v>0</v>
      </c>
      <c r="M54" s="12">
        <v>0</v>
      </c>
      <c r="W54">
        <f t="shared" si="4"/>
        <v>0</v>
      </c>
    </row>
    <row r="55" spans="1:23" x14ac:dyDescent="0.25">
      <c r="A55" s="15">
        <v>4</v>
      </c>
      <c r="B55" s="47" t="s">
        <v>345</v>
      </c>
      <c r="C55" s="12">
        <v>0</v>
      </c>
      <c r="F55" s="12">
        <v>0</v>
      </c>
      <c r="H55" s="12">
        <v>0</v>
      </c>
      <c r="J55" s="12">
        <v>0</v>
      </c>
      <c r="P55" s="12">
        <v>0</v>
      </c>
      <c r="W55">
        <f t="shared" si="4"/>
        <v>0</v>
      </c>
    </row>
    <row r="56" spans="1:23" x14ac:dyDescent="0.25">
      <c r="A56" s="15">
        <v>5</v>
      </c>
      <c r="B56" s="47" t="s">
        <v>346</v>
      </c>
      <c r="F56" s="12">
        <v>13</v>
      </c>
      <c r="J56" s="12">
        <v>13</v>
      </c>
      <c r="O56" s="12">
        <v>13</v>
      </c>
      <c r="W56">
        <f t="shared" si="4"/>
        <v>39</v>
      </c>
    </row>
    <row r="57" spans="1:23" x14ac:dyDescent="0.25">
      <c r="A57" s="15">
        <v>6</v>
      </c>
      <c r="B57" s="47" t="s">
        <v>347</v>
      </c>
      <c r="C57" s="12">
        <v>0</v>
      </c>
      <c r="W57">
        <f t="shared" si="4"/>
        <v>0</v>
      </c>
    </row>
    <row r="58" spans="1:23" x14ac:dyDescent="0.25">
      <c r="A58" s="15">
        <v>7</v>
      </c>
      <c r="B58" s="47" t="s">
        <v>348</v>
      </c>
      <c r="C58" s="12">
        <v>10</v>
      </c>
      <c r="D58" s="12">
        <v>1</v>
      </c>
      <c r="E58" s="12">
        <v>17</v>
      </c>
      <c r="F58" s="12">
        <v>95</v>
      </c>
      <c r="G58" s="12">
        <v>7</v>
      </c>
      <c r="H58" s="12">
        <v>7</v>
      </c>
      <c r="I58" s="12">
        <v>3</v>
      </c>
      <c r="J58" s="12">
        <v>11</v>
      </c>
      <c r="K58" s="12">
        <v>10</v>
      </c>
      <c r="L58" s="12">
        <v>9</v>
      </c>
      <c r="M58" s="12">
        <v>7</v>
      </c>
      <c r="N58" s="12">
        <v>12</v>
      </c>
      <c r="O58" s="12">
        <v>14</v>
      </c>
      <c r="P58" s="12">
        <v>15</v>
      </c>
      <c r="Q58" s="12">
        <v>17</v>
      </c>
      <c r="R58" s="12">
        <v>8</v>
      </c>
      <c r="S58" s="12">
        <v>2</v>
      </c>
      <c r="T58" s="12">
        <v>15</v>
      </c>
      <c r="U58" s="12">
        <v>26</v>
      </c>
      <c r="W58">
        <f t="shared" si="4"/>
        <v>286</v>
      </c>
    </row>
    <row r="59" spans="1:23" x14ac:dyDescent="0.25">
      <c r="B59" s="47" t="s">
        <v>398</v>
      </c>
      <c r="C59" s="12">
        <v>238</v>
      </c>
      <c r="D59" s="12">
        <v>0</v>
      </c>
      <c r="E59" s="12">
        <v>0</v>
      </c>
      <c r="F59" s="12" t="s">
        <v>399</v>
      </c>
      <c r="H59" s="12">
        <v>86</v>
      </c>
      <c r="I59" s="12">
        <v>36</v>
      </c>
      <c r="J59" s="12">
        <v>39</v>
      </c>
      <c r="M59" s="12">
        <v>40</v>
      </c>
      <c r="N59" s="12">
        <v>10</v>
      </c>
      <c r="O59" s="12">
        <v>34</v>
      </c>
      <c r="R59" s="12">
        <v>111</v>
      </c>
      <c r="T59" s="12">
        <v>260</v>
      </c>
      <c r="U59" s="12">
        <v>0</v>
      </c>
      <c r="W59">
        <f t="shared" si="4"/>
        <v>854</v>
      </c>
    </row>
    <row r="60" spans="1:23" x14ac:dyDescent="0.25">
      <c r="A60" s="15">
        <v>8</v>
      </c>
      <c r="B60" s="47" t="s">
        <v>349</v>
      </c>
      <c r="C60" s="12">
        <v>0</v>
      </c>
      <c r="E60" s="12">
        <v>0</v>
      </c>
      <c r="F60" s="12">
        <v>3</v>
      </c>
      <c r="G60" s="12">
        <v>0</v>
      </c>
      <c r="K60" s="12">
        <v>0</v>
      </c>
      <c r="L60" s="12">
        <v>2</v>
      </c>
      <c r="P60" s="12">
        <v>3</v>
      </c>
      <c r="Q60" s="12">
        <v>0</v>
      </c>
      <c r="W60">
        <f t="shared" si="4"/>
        <v>8</v>
      </c>
    </row>
    <row r="61" spans="1:23" x14ac:dyDescent="0.25">
      <c r="A61" s="15">
        <v>9</v>
      </c>
      <c r="B61" s="47" t="s">
        <v>350</v>
      </c>
      <c r="C61" s="12">
        <v>0</v>
      </c>
      <c r="D61" s="12">
        <v>1</v>
      </c>
      <c r="E61" s="12">
        <v>0</v>
      </c>
      <c r="F61" s="12">
        <v>12</v>
      </c>
      <c r="J61" s="12">
        <v>2</v>
      </c>
      <c r="L61" s="12">
        <v>0</v>
      </c>
      <c r="M61" s="12">
        <v>2</v>
      </c>
      <c r="O61" s="12">
        <v>2</v>
      </c>
      <c r="P61" s="12">
        <v>2</v>
      </c>
      <c r="W61">
        <f t="shared" si="4"/>
        <v>21</v>
      </c>
    </row>
    <row r="62" spans="1:23" x14ac:dyDescent="0.25">
      <c r="A62" s="15">
        <v>10</v>
      </c>
      <c r="B62" s="47" t="s">
        <v>392</v>
      </c>
      <c r="F62" s="12">
        <v>3</v>
      </c>
      <c r="J62" s="12">
        <v>1</v>
      </c>
      <c r="L62" s="12">
        <v>1</v>
      </c>
      <c r="O62" s="12">
        <v>1</v>
      </c>
      <c r="P62" s="12">
        <v>1</v>
      </c>
      <c r="U62" s="12">
        <v>1</v>
      </c>
      <c r="W62">
        <f t="shared" si="4"/>
        <v>8</v>
      </c>
    </row>
    <row r="63" spans="1:23" x14ac:dyDescent="0.25">
      <c r="A63" s="16">
        <v>11</v>
      </c>
      <c r="B63" s="47" t="s">
        <v>6</v>
      </c>
      <c r="E63" s="12">
        <v>1</v>
      </c>
      <c r="F63" s="12">
        <v>39</v>
      </c>
      <c r="L63" s="12">
        <v>1</v>
      </c>
      <c r="O63" s="12">
        <v>13</v>
      </c>
      <c r="W63">
        <f t="shared" si="4"/>
        <v>54</v>
      </c>
    </row>
    <row r="64" spans="1:23" x14ac:dyDescent="0.25">
      <c r="A64" s="10" t="s">
        <v>352</v>
      </c>
      <c r="W64">
        <f t="shared" si="4"/>
        <v>0</v>
      </c>
    </row>
    <row r="65" spans="1:23" x14ac:dyDescent="0.25">
      <c r="A65" s="15">
        <v>1</v>
      </c>
      <c r="B65" s="47" t="s">
        <v>353</v>
      </c>
      <c r="C65" s="12">
        <v>32</v>
      </c>
      <c r="D65" s="12">
        <v>47</v>
      </c>
      <c r="E65" s="12">
        <v>23</v>
      </c>
      <c r="F65" s="12">
        <v>400</v>
      </c>
      <c r="G65" s="12">
        <v>60</v>
      </c>
      <c r="H65" s="12">
        <v>23</v>
      </c>
      <c r="I65" s="12">
        <v>30</v>
      </c>
      <c r="J65" s="12">
        <v>180</v>
      </c>
      <c r="K65" s="12">
        <v>35</v>
      </c>
      <c r="M65" s="12">
        <v>70</v>
      </c>
      <c r="N65" s="12">
        <v>13</v>
      </c>
      <c r="O65" s="12">
        <v>54</v>
      </c>
      <c r="P65" s="12">
        <v>83</v>
      </c>
      <c r="Q65" s="12">
        <v>41</v>
      </c>
      <c r="R65" s="12">
        <v>12</v>
      </c>
      <c r="S65" s="12">
        <v>15</v>
      </c>
      <c r="T65" s="12">
        <v>73</v>
      </c>
      <c r="U65" s="12">
        <v>13</v>
      </c>
      <c r="V65" s="12">
        <v>21</v>
      </c>
      <c r="W65">
        <f t="shared" si="4"/>
        <v>1225</v>
      </c>
    </row>
    <row r="66" spans="1:23" x14ac:dyDescent="0.25">
      <c r="A66" s="15">
        <v>2</v>
      </c>
      <c r="B66" s="47" t="s">
        <v>354</v>
      </c>
      <c r="C66" s="12">
        <v>0</v>
      </c>
      <c r="D66" s="12">
        <v>0</v>
      </c>
      <c r="E66" s="12">
        <v>0</v>
      </c>
      <c r="F66" s="12">
        <v>0</v>
      </c>
      <c r="I66" s="12">
        <v>0</v>
      </c>
      <c r="K66" s="12">
        <v>0</v>
      </c>
      <c r="M66" s="12">
        <v>0</v>
      </c>
      <c r="N66" s="12">
        <v>0</v>
      </c>
      <c r="O66" s="12">
        <v>0</v>
      </c>
      <c r="Q66" s="12">
        <v>0</v>
      </c>
      <c r="S66" s="12">
        <v>20</v>
      </c>
      <c r="U66" s="12">
        <v>0</v>
      </c>
      <c r="W66">
        <f t="shared" si="4"/>
        <v>20</v>
      </c>
    </row>
    <row r="67" spans="1:23" x14ac:dyDescent="0.25">
      <c r="A67" s="15">
        <v>3</v>
      </c>
      <c r="B67" s="47" t="s">
        <v>355</v>
      </c>
      <c r="C67" s="12">
        <v>0</v>
      </c>
      <c r="D67" s="12">
        <v>0</v>
      </c>
      <c r="E67" s="12">
        <v>0</v>
      </c>
      <c r="F67" s="12">
        <v>0</v>
      </c>
      <c r="I67" s="12">
        <v>0</v>
      </c>
      <c r="J67" s="12">
        <v>177</v>
      </c>
      <c r="K67" s="12">
        <v>0</v>
      </c>
      <c r="M67" s="12">
        <v>0</v>
      </c>
      <c r="N67" s="12">
        <v>0</v>
      </c>
      <c r="O67" s="12">
        <v>0</v>
      </c>
      <c r="Q67" s="12">
        <v>0</v>
      </c>
      <c r="U67" s="12">
        <v>0</v>
      </c>
      <c r="W67">
        <f t="shared" si="4"/>
        <v>177</v>
      </c>
    </row>
    <row r="68" spans="1:23" x14ac:dyDescent="0.25">
      <c r="A68" s="15">
        <v>4</v>
      </c>
      <c r="B68" s="47" t="s">
        <v>356</v>
      </c>
      <c r="C68" s="12">
        <v>19</v>
      </c>
      <c r="D68" s="12">
        <v>70</v>
      </c>
      <c r="E68" s="12">
        <v>56</v>
      </c>
      <c r="F68" s="12">
        <v>586</v>
      </c>
      <c r="G68" s="12">
        <v>40</v>
      </c>
      <c r="H68" s="12">
        <v>55</v>
      </c>
      <c r="I68" s="12">
        <v>26</v>
      </c>
      <c r="J68" s="12">
        <v>256</v>
      </c>
      <c r="L68" s="12">
        <v>45</v>
      </c>
      <c r="M68" s="12">
        <v>83</v>
      </c>
      <c r="N68" s="12">
        <v>11</v>
      </c>
      <c r="O68" s="12">
        <v>0</v>
      </c>
      <c r="P68" s="12">
        <v>160</v>
      </c>
      <c r="Q68" s="12">
        <v>34</v>
      </c>
      <c r="R68" s="12">
        <v>16</v>
      </c>
      <c r="T68" s="12">
        <v>28</v>
      </c>
      <c r="U68" s="12">
        <v>11</v>
      </c>
      <c r="W68">
        <f t="shared" si="4"/>
        <v>1496</v>
      </c>
    </row>
    <row r="69" spans="1:23" x14ac:dyDescent="0.25">
      <c r="A69" s="15">
        <v>5</v>
      </c>
      <c r="B69" s="47" t="s">
        <v>357</v>
      </c>
      <c r="C69" s="12">
        <v>60</v>
      </c>
      <c r="D69" s="12">
        <v>54</v>
      </c>
      <c r="E69" s="12">
        <v>56</v>
      </c>
      <c r="F69" s="12">
        <v>1227</v>
      </c>
      <c r="H69" s="12">
        <v>15</v>
      </c>
      <c r="I69" s="12">
        <v>22</v>
      </c>
      <c r="J69" s="12">
        <v>128</v>
      </c>
      <c r="K69" s="12">
        <v>41</v>
      </c>
      <c r="L69" s="12">
        <v>62</v>
      </c>
      <c r="M69" s="12">
        <v>20</v>
      </c>
      <c r="N69" s="12">
        <v>0</v>
      </c>
      <c r="O69" s="12">
        <v>45</v>
      </c>
      <c r="P69" s="12">
        <v>67</v>
      </c>
      <c r="Q69" s="12">
        <v>19</v>
      </c>
      <c r="R69" s="12">
        <v>30</v>
      </c>
      <c r="T69" s="12">
        <v>30</v>
      </c>
      <c r="U69" s="12">
        <v>8</v>
      </c>
      <c r="V69" s="12">
        <v>19</v>
      </c>
      <c r="W69">
        <f t="shared" si="4"/>
        <v>1903</v>
      </c>
    </row>
    <row r="70" spans="1:23" x14ac:dyDescent="0.25">
      <c r="A70" s="15">
        <v>6</v>
      </c>
      <c r="B70" s="47" t="s">
        <v>358</v>
      </c>
      <c r="D70" s="12">
        <v>38</v>
      </c>
      <c r="E70" s="12">
        <v>10</v>
      </c>
      <c r="F70" s="12">
        <v>442</v>
      </c>
      <c r="G70" s="12">
        <v>0</v>
      </c>
      <c r="H70" s="12">
        <v>22</v>
      </c>
      <c r="I70" s="12">
        <v>39</v>
      </c>
      <c r="K70" s="12">
        <v>57</v>
      </c>
      <c r="M70" s="12">
        <v>70</v>
      </c>
      <c r="N70" s="12">
        <v>13</v>
      </c>
      <c r="P70" s="12">
        <v>72</v>
      </c>
      <c r="Q70" s="12">
        <v>35</v>
      </c>
      <c r="R70" s="12">
        <v>9</v>
      </c>
      <c r="U70" s="12">
        <v>7</v>
      </c>
      <c r="V70" s="12">
        <v>21</v>
      </c>
      <c r="W70">
        <f t="shared" si="4"/>
        <v>835</v>
      </c>
    </row>
    <row r="71" spans="1:23" x14ac:dyDescent="0.25">
      <c r="A71" s="15">
        <v>7</v>
      </c>
      <c r="B71" s="47" t="s">
        <v>359</v>
      </c>
      <c r="C71" s="12">
        <v>20</v>
      </c>
      <c r="D71" s="12">
        <v>54</v>
      </c>
      <c r="E71" s="12">
        <v>0</v>
      </c>
      <c r="F71" s="12">
        <v>868</v>
      </c>
      <c r="G71" s="12">
        <v>0</v>
      </c>
      <c r="H71" s="12">
        <v>26</v>
      </c>
      <c r="I71" s="12">
        <v>27</v>
      </c>
      <c r="J71" s="12">
        <v>176</v>
      </c>
      <c r="K71" s="12">
        <v>63</v>
      </c>
      <c r="L71" s="12">
        <v>72</v>
      </c>
      <c r="M71" s="12">
        <v>79</v>
      </c>
      <c r="O71" s="12">
        <v>57</v>
      </c>
      <c r="P71" s="12">
        <v>89</v>
      </c>
      <c r="Q71" s="12">
        <v>36</v>
      </c>
      <c r="R71" s="12">
        <v>13</v>
      </c>
      <c r="S71" s="12">
        <v>16</v>
      </c>
      <c r="T71" s="12">
        <v>15</v>
      </c>
      <c r="U71" s="12">
        <v>20</v>
      </c>
      <c r="V71" s="12">
        <v>19</v>
      </c>
      <c r="W71">
        <f t="shared" si="4"/>
        <v>1650</v>
      </c>
    </row>
    <row r="72" spans="1:23" x14ac:dyDescent="0.25">
      <c r="A72" s="15">
        <v>8</v>
      </c>
      <c r="B72" s="47" t="s">
        <v>360</v>
      </c>
      <c r="C72" s="12">
        <v>0</v>
      </c>
      <c r="G72" s="12">
        <v>0</v>
      </c>
      <c r="I72" s="12">
        <v>21</v>
      </c>
      <c r="J72" s="12">
        <v>0</v>
      </c>
      <c r="K72" s="12">
        <v>0</v>
      </c>
      <c r="L72" s="12">
        <v>0</v>
      </c>
      <c r="O72" s="12">
        <v>0</v>
      </c>
      <c r="P72" s="12">
        <v>0</v>
      </c>
      <c r="W72">
        <f t="shared" si="4"/>
        <v>21</v>
      </c>
    </row>
    <row r="73" spans="1:23" x14ac:dyDescent="0.25">
      <c r="A73" s="15">
        <v>9</v>
      </c>
      <c r="B73" s="47" t="s">
        <v>361</v>
      </c>
      <c r="C73" s="12">
        <v>0</v>
      </c>
      <c r="G73" s="12">
        <v>0</v>
      </c>
      <c r="H73" s="12">
        <v>0</v>
      </c>
      <c r="I73" s="12">
        <v>22</v>
      </c>
      <c r="J73" s="12">
        <v>0</v>
      </c>
      <c r="K73" s="12">
        <v>0</v>
      </c>
      <c r="L73" s="12">
        <v>0</v>
      </c>
      <c r="O73" s="12">
        <v>0</v>
      </c>
      <c r="P73" s="12">
        <v>0</v>
      </c>
      <c r="W73">
        <f t="shared" si="4"/>
        <v>22</v>
      </c>
    </row>
    <row r="74" spans="1:23" x14ac:dyDescent="0.25">
      <c r="A74" s="15">
        <v>10</v>
      </c>
      <c r="B74" s="47" t="s">
        <v>362</v>
      </c>
      <c r="C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34</v>
      </c>
      <c r="J74" s="12">
        <v>0</v>
      </c>
      <c r="K74" s="12">
        <v>0</v>
      </c>
      <c r="L74" s="12">
        <v>0</v>
      </c>
      <c r="M74" s="12">
        <v>0</v>
      </c>
      <c r="O74" s="12">
        <v>0</v>
      </c>
      <c r="P74" s="12">
        <v>0</v>
      </c>
      <c r="W74">
        <f t="shared" si="4"/>
        <v>34</v>
      </c>
    </row>
    <row r="75" spans="1:23" x14ac:dyDescent="0.25">
      <c r="A75" s="15">
        <v>11</v>
      </c>
      <c r="B75" s="47" t="s">
        <v>363</v>
      </c>
      <c r="C75" s="12">
        <v>0</v>
      </c>
      <c r="F75" s="12">
        <v>0</v>
      </c>
      <c r="G75" s="12">
        <v>0</v>
      </c>
      <c r="K75" s="12">
        <v>0</v>
      </c>
      <c r="Q75" s="12">
        <v>0</v>
      </c>
      <c r="W75">
        <f t="shared" si="4"/>
        <v>0</v>
      </c>
    </row>
    <row r="76" spans="1:23" x14ac:dyDescent="0.25">
      <c r="A76" s="15">
        <v>12</v>
      </c>
      <c r="B76" s="47" t="s">
        <v>364</v>
      </c>
      <c r="F76" s="12">
        <v>0</v>
      </c>
      <c r="H76" s="12">
        <v>72</v>
      </c>
      <c r="K76" s="12">
        <v>125</v>
      </c>
      <c r="L76" s="12">
        <v>103</v>
      </c>
      <c r="M76" s="12">
        <v>130</v>
      </c>
      <c r="O76" s="12">
        <v>70</v>
      </c>
      <c r="P76" s="12">
        <v>132</v>
      </c>
      <c r="R76" s="12">
        <v>60</v>
      </c>
      <c r="W76">
        <f t="shared" si="4"/>
        <v>692</v>
      </c>
    </row>
    <row r="77" spans="1:23" x14ac:dyDescent="0.25">
      <c r="W77">
        <f t="shared" si="4"/>
        <v>0</v>
      </c>
    </row>
    <row r="78" spans="1:23" x14ac:dyDescent="0.25">
      <c r="A78" s="10" t="s">
        <v>365</v>
      </c>
      <c r="C78" s="12">
        <f>SUM(C79,C83)</f>
        <v>1</v>
      </c>
      <c r="D78" s="12">
        <f t="shared" ref="D78:S78" si="7">SUM(D79,D83)</f>
        <v>0</v>
      </c>
      <c r="E78" s="12">
        <f t="shared" si="7"/>
        <v>1</v>
      </c>
      <c r="F78" s="12">
        <f t="shared" si="7"/>
        <v>8</v>
      </c>
      <c r="G78" s="12">
        <f t="shared" si="7"/>
        <v>0</v>
      </c>
      <c r="H78" s="12">
        <f t="shared" si="7"/>
        <v>0</v>
      </c>
      <c r="I78" s="12">
        <f t="shared" si="7"/>
        <v>0</v>
      </c>
      <c r="J78" s="12">
        <f t="shared" si="7"/>
        <v>0</v>
      </c>
      <c r="K78" s="12">
        <f t="shared" si="7"/>
        <v>2</v>
      </c>
      <c r="L78" s="12">
        <f t="shared" si="7"/>
        <v>4</v>
      </c>
      <c r="M78" s="12">
        <f t="shared" si="7"/>
        <v>0</v>
      </c>
      <c r="N78" s="12">
        <f t="shared" si="7"/>
        <v>0</v>
      </c>
      <c r="O78" s="12">
        <f t="shared" si="7"/>
        <v>0</v>
      </c>
      <c r="P78" s="12">
        <f t="shared" si="7"/>
        <v>2</v>
      </c>
      <c r="Q78" s="12">
        <f t="shared" si="7"/>
        <v>0</v>
      </c>
      <c r="R78" s="12">
        <f t="shared" si="7"/>
        <v>0</v>
      </c>
      <c r="S78" s="12">
        <f t="shared" si="7"/>
        <v>0</v>
      </c>
      <c r="W78">
        <f t="shared" si="4"/>
        <v>18</v>
      </c>
    </row>
    <row r="79" spans="1:23" x14ac:dyDescent="0.25">
      <c r="A79" s="15">
        <v>1</v>
      </c>
      <c r="B79" s="47" t="s">
        <v>366</v>
      </c>
      <c r="C79" s="12">
        <f t="shared" ref="C79:K79" si="8">SUM(C80,C81,C82,C83)</f>
        <v>1</v>
      </c>
      <c r="D79" s="12">
        <f t="shared" si="8"/>
        <v>0</v>
      </c>
      <c r="E79" s="12">
        <f t="shared" si="8"/>
        <v>1</v>
      </c>
      <c r="F79" s="12">
        <f t="shared" si="8"/>
        <v>6</v>
      </c>
      <c r="G79" s="12">
        <f t="shared" si="8"/>
        <v>0</v>
      </c>
      <c r="H79" s="12">
        <f t="shared" si="8"/>
        <v>0</v>
      </c>
      <c r="I79" s="12">
        <f t="shared" si="8"/>
        <v>0</v>
      </c>
      <c r="J79" s="12">
        <f t="shared" si="8"/>
        <v>0</v>
      </c>
      <c r="K79" s="12">
        <f t="shared" si="8"/>
        <v>2</v>
      </c>
      <c r="L79" s="12">
        <f>SUM(L80,L81,L82,L83)</f>
        <v>3</v>
      </c>
      <c r="M79" s="12">
        <f t="shared" ref="M79:V79" si="9">SUM(M80,M81,M82,M83)</f>
        <v>0</v>
      </c>
      <c r="N79" s="12">
        <f t="shared" si="9"/>
        <v>0</v>
      </c>
      <c r="O79" s="12">
        <f t="shared" si="9"/>
        <v>0</v>
      </c>
      <c r="P79" s="12">
        <f t="shared" si="9"/>
        <v>2</v>
      </c>
      <c r="Q79" s="12">
        <f t="shared" si="9"/>
        <v>0</v>
      </c>
      <c r="R79" s="12">
        <f t="shared" si="9"/>
        <v>0</v>
      </c>
      <c r="S79" s="12">
        <f t="shared" si="9"/>
        <v>0</v>
      </c>
      <c r="T79" s="12">
        <f t="shared" si="9"/>
        <v>0</v>
      </c>
      <c r="U79" s="12">
        <f t="shared" si="9"/>
        <v>0</v>
      </c>
      <c r="V79" s="12">
        <f t="shared" si="9"/>
        <v>0</v>
      </c>
      <c r="W79">
        <f t="shared" si="4"/>
        <v>15</v>
      </c>
    </row>
    <row r="80" spans="1:23" x14ac:dyDescent="0.25">
      <c r="A80" s="15">
        <v>1.1000000000000001</v>
      </c>
      <c r="B80" s="47" t="s">
        <v>367</v>
      </c>
      <c r="C80" s="12">
        <v>1</v>
      </c>
      <c r="E80" s="12">
        <v>1</v>
      </c>
      <c r="F80" s="12">
        <v>1</v>
      </c>
      <c r="K80" s="12">
        <v>1</v>
      </c>
      <c r="L80" s="12">
        <v>1</v>
      </c>
      <c r="P80" s="12">
        <v>1</v>
      </c>
      <c r="W80">
        <f t="shared" si="4"/>
        <v>6</v>
      </c>
    </row>
    <row r="81" spans="1:23" x14ac:dyDescent="0.25">
      <c r="A81" s="15">
        <v>1.2</v>
      </c>
      <c r="B81" s="47" t="s">
        <v>368</v>
      </c>
      <c r="F81" s="12">
        <v>1</v>
      </c>
      <c r="G81" s="12">
        <v>0</v>
      </c>
      <c r="K81" s="12">
        <v>1</v>
      </c>
      <c r="L81" s="12">
        <v>1</v>
      </c>
      <c r="P81" s="12">
        <v>1</v>
      </c>
      <c r="W81">
        <f t="shared" si="4"/>
        <v>4</v>
      </c>
    </row>
    <row r="82" spans="1:23" x14ac:dyDescent="0.25">
      <c r="A82" s="15">
        <v>1.3</v>
      </c>
      <c r="B82" s="47" t="s">
        <v>369</v>
      </c>
      <c r="F82" s="12">
        <v>2</v>
      </c>
      <c r="W82">
        <f t="shared" si="4"/>
        <v>2</v>
      </c>
    </row>
    <row r="83" spans="1:23" x14ac:dyDescent="0.25">
      <c r="A83" s="15">
        <v>2</v>
      </c>
      <c r="B83" s="47" t="s">
        <v>370</v>
      </c>
      <c r="C83" s="12">
        <v>0</v>
      </c>
      <c r="F83" s="12">
        <v>2</v>
      </c>
      <c r="G83" s="12">
        <v>0</v>
      </c>
      <c r="L83" s="12">
        <v>1</v>
      </c>
      <c r="W83">
        <f t="shared" si="4"/>
        <v>3</v>
      </c>
    </row>
    <row r="84" spans="1:23" x14ac:dyDescent="0.25">
      <c r="A84" s="15">
        <v>3</v>
      </c>
      <c r="B84" s="47" t="s">
        <v>371</v>
      </c>
      <c r="D84" s="12">
        <v>0</v>
      </c>
      <c r="K84" s="12">
        <v>1</v>
      </c>
      <c r="N84" s="12">
        <v>1</v>
      </c>
      <c r="O84" s="12">
        <v>0</v>
      </c>
      <c r="W84">
        <f t="shared" si="4"/>
        <v>2</v>
      </c>
    </row>
    <row r="85" spans="1:23" ht="30" x14ac:dyDescent="0.25">
      <c r="A85" s="15">
        <v>4</v>
      </c>
      <c r="B85" s="47" t="s">
        <v>372</v>
      </c>
      <c r="D85" s="12">
        <v>1</v>
      </c>
      <c r="F85" s="12">
        <v>1</v>
      </c>
      <c r="R85" s="12">
        <v>1</v>
      </c>
      <c r="W85">
        <f t="shared" si="4"/>
        <v>3</v>
      </c>
    </row>
    <row r="86" spans="1:23" x14ac:dyDescent="0.25">
      <c r="W86">
        <f t="shared" si="4"/>
        <v>0</v>
      </c>
    </row>
    <row r="87" spans="1:23" x14ac:dyDescent="0.25">
      <c r="A87" s="10" t="s">
        <v>373</v>
      </c>
      <c r="W87">
        <f t="shared" si="4"/>
        <v>0</v>
      </c>
    </row>
    <row r="88" spans="1:23" x14ac:dyDescent="0.25">
      <c r="A88" s="15">
        <v>1</v>
      </c>
      <c r="B88" s="47" t="s">
        <v>374</v>
      </c>
      <c r="C88" s="12">
        <v>0</v>
      </c>
      <c r="G88" s="12">
        <v>1</v>
      </c>
      <c r="I88" s="12">
        <v>2</v>
      </c>
      <c r="L88" s="12">
        <v>2</v>
      </c>
      <c r="M88" s="12">
        <v>0</v>
      </c>
      <c r="O88" s="12">
        <v>2</v>
      </c>
      <c r="P88" s="12">
        <v>2</v>
      </c>
      <c r="Q88" s="12">
        <v>0</v>
      </c>
      <c r="S88" s="12">
        <v>6</v>
      </c>
      <c r="T88" s="12">
        <v>1</v>
      </c>
      <c r="W88">
        <f t="shared" si="4"/>
        <v>16</v>
      </c>
    </row>
    <row r="89" spans="1:23" x14ac:dyDescent="0.25">
      <c r="A89" s="16">
        <v>2</v>
      </c>
      <c r="B89" s="47" t="s">
        <v>375</v>
      </c>
      <c r="F89" s="12">
        <v>2</v>
      </c>
      <c r="G89" s="12">
        <v>5</v>
      </c>
      <c r="L89" s="12">
        <v>11</v>
      </c>
      <c r="M89" s="12">
        <v>0</v>
      </c>
      <c r="O89" s="12">
        <v>0</v>
      </c>
      <c r="Q89" s="12">
        <v>0</v>
      </c>
      <c r="W89">
        <f t="shared" si="4"/>
        <v>18</v>
      </c>
    </row>
    <row r="90" spans="1:23" x14ac:dyDescent="0.25">
      <c r="A90" s="15">
        <v>3</v>
      </c>
      <c r="B90" s="47" t="s">
        <v>376</v>
      </c>
      <c r="C90" s="12">
        <v>0</v>
      </c>
      <c r="F90" s="12">
        <v>12</v>
      </c>
      <c r="G90" s="12">
        <v>0</v>
      </c>
      <c r="K90" s="12">
        <v>111</v>
      </c>
      <c r="N90" s="12">
        <v>0</v>
      </c>
      <c r="O90" s="12">
        <v>13</v>
      </c>
      <c r="Q90" s="12">
        <v>315</v>
      </c>
      <c r="U90" s="12">
        <v>26</v>
      </c>
      <c r="W90">
        <f t="shared" si="4"/>
        <v>477</v>
      </c>
    </row>
    <row r="91" spans="1:23" x14ac:dyDescent="0.25">
      <c r="A91" s="15">
        <v>4</v>
      </c>
      <c r="B91" s="47" t="s">
        <v>377</v>
      </c>
      <c r="C91" s="12">
        <v>6</v>
      </c>
      <c r="D91" s="12">
        <v>13</v>
      </c>
      <c r="E91" s="12">
        <v>0</v>
      </c>
      <c r="F91" s="12">
        <v>12</v>
      </c>
      <c r="G91" s="12">
        <v>0</v>
      </c>
      <c r="H91" s="12">
        <v>2</v>
      </c>
      <c r="K91" s="12">
        <v>20</v>
      </c>
      <c r="M91" s="12">
        <v>13</v>
      </c>
      <c r="N91" s="12">
        <v>13</v>
      </c>
      <c r="O91" s="12">
        <v>13</v>
      </c>
      <c r="P91" s="12">
        <v>13</v>
      </c>
      <c r="Q91" s="12">
        <v>0</v>
      </c>
      <c r="R91" s="12">
        <v>13</v>
      </c>
      <c r="S91" s="12">
        <v>13</v>
      </c>
      <c r="U91" s="12">
        <v>13</v>
      </c>
      <c r="W91">
        <f t="shared" si="4"/>
        <v>144</v>
      </c>
    </row>
    <row r="92" spans="1:23" x14ac:dyDescent="0.25">
      <c r="A92" s="15">
        <v>5</v>
      </c>
      <c r="B92" s="47" t="s">
        <v>378</v>
      </c>
      <c r="E92" s="12">
        <v>6</v>
      </c>
      <c r="F92" s="12">
        <v>2</v>
      </c>
      <c r="G92" s="12">
        <v>2</v>
      </c>
      <c r="H92" s="12">
        <v>2</v>
      </c>
      <c r="J92" s="12">
        <v>0</v>
      </c>
      <c r="K92" s="12">
        <v>0</v>
      </c>
      <c r="O92" s="12">
        <v>0</v>
      </c>
      <c r="P92" s="12">
        <v>1</v>
      </c>
      <c r="Q92" s="12">
        <v>0</v>
      </c>
      <c r="R92" s="12">
        <v>2</v>
      </c>
      <c r="W92">
        <f t="shared" si="4"/>
        <v>15</v>
      </c>
    </row>
    <row r="93" spans="1:23" ht="30" x14ac:dyDescent="0.25">
      <c r="A93" s="15">
        <v>6</v>
      </c>
      <c r="B93" s="47" t="s">
        <v>379</v>
      </c>
      <c r="C93" s="12">
        <v>0</v>
      </c>
      <c r="F93" s="12">
        <v>2</v>
      </c>
      <c r="O93" s="12">
        <v>0</v>
      </c>
      <c r="Q93" s="12">
        <v>1</v>
      </c>
      <c r="W93">
        <f t="shared" si="4"/>
        <v>3</v>
      </c>
    </row>
    <row r="94" spans="1:23" x14ac:dyDescent="0.25">
      <c r="A94" s="15">
        <v>7</v>
      </c>
      <c r="B94" s="47" t="s">
        <v>380</v>
      </c>
      <c r="E94" s="12">
        <v>0</v>
      </c>
      <c r="F94" s="12">
        <v>1</v>
      </c>
      <c r="G94" s="12">
        <v>0</v>
      </c>
      <c r="M94" s="12">
        <v>2</v>
      </c>
      <c r="P94" s="12">
        <v>0</v>
      </c>
      <c r="Q94" s="12">
        <v>0</v>
      </c>
      <c r="U94" s="12">
        <v>0</v>
      </c>
      <c r="W94">
        <f t="shared" ref="W94:W103" si="10">SUM(C94:V94)</f>
        <v>3</v>
      </c>
    </row>
    <row r="95" spans="1:23" x14ac:dyDescent="0.25">
      <c r="A95" s="16">
        <v>8</v>
      </c>
      <c r="B95" s="47" t="s">
        <v>381</v>
      </c>
      <c r="C95" s="12">
        <v>1</v>
      </c>
      <c r="E95" s="12">
        <v>5</v>
      </c>
      <c r="F95" s="12">
        <v>18</v>
      </c>
      <c r="L95" s="12">
        <v>12</v>
      </c>
      <c r="M95" s="12">
        <v>6</v>
      </c>
      <c r="P95" s="12">
        <v>13</v>
      </c>
      <c r="Q95" s="12">
        <v>0</v>
      </c>
      <c r="S95" s="12">
        <v>1</v>
      </c>
      <c r="U95" s="12">
        <v>13</v>
      </c>
      <c r="W95">
        <f t="shared" si="10"/>
        <v>69</v>
      </c>
    </row>
    <row r="96" spans="1:23" x14ac:dyDescent="0.25">
      <c r="A96" s="15">
        <v>9</v>
      </c>
      <c r="B96" s="47" t="s">
        <v>382</v>
      </c>
      <c r="C96" s="12">
        <v>0</v>
      </c>
      <c r="E96" s="12">
        <v>0</v>
      </c>
      <c r="F96" s="12">
        <v>1</v>
      </c>
      <c r="G96" s="12">
        <v>0</v>
      </c>
      <c r="L96" s="12">
        <v>0</v>
      </c>
      <c r="M96" s="12">
        <v>2</v>
      </c>
      <c r="Q96" s="12">
        <v>0</v>
      </c>
      <c r="S96" s="12">
        <v>2</v>
      </c>
      <c r="W96">
        <f t="shared" si="10"/>
        <v>5</v>
      </c>
    </row>
    <row r="97" spans="1:23" x14ac:dyDescent="0.25">
      <c r="A97" s="15">
        <v>10</v>
      </c>
      <c r="B97" s="47" t="s">
        <v>383</v>
      </c>
      <c r="C97" s="12">
        <v>0</v>
      </c>
      <c r="P97" s="12">
        <v>0</v>
      </c>
      <c r="Q97" s="12">
        <v>0</v>
      </c>
      <c r="W97">
        <f t="shared" si="10"/>
        <v>0</v>
      </c>
    </row>
    <row r="98" spans="1:23" x14ac:dyDescent="0.25">
      <c r="A98" s="15">
        <v>11</v>
      </c>
      <c r="B98" s="47" t="s">
        <v>384</v>
      </c>
      <c r="C98" s="12">
        <v>0</v>
      </c>
      <c r="E98" s="12">
        <v>0</v>
      </c>
      <c r="F98" s="12">
        <v>11</v>
      </c>
      <c r="G98" s="12">
        <v>1</v>
      </c>
      <c r="W98">
        <f t="shared" si="10"/>
        <v>12</v>
      </c>
    </row>
    <row r="99" spans="1:23" x14ac:dyDescent="0.25">
      <c r="A99" s="15">
        <v>12</v>
      </c>
      <c r="B99" s="47" t="s">
        <v>385</v>
      </c>
      <c r="C99" s="12">
        <v>0</v>
      </c>
      <c r="E99" s="12">
        <v>0</v>
      </c>
      <c r="F99" s="12">
        <v>31</v>
      </c>
      <c r="K99" s="12">
        <v>7</v>
      </c>
      <c r="P99" s="12">
        <v>21</v>
      </c>
      <c r="Q99" s="12">
        <v>35</v>
      </c>
      <c r="W99">
        <f t="shared" si="10"/>
        <v>94</v>
      </c>
    </row>
    <row r="100" spans="1:23" x14ac:dyDescent="0.25">
      <c r="A100" s="15">
        <v>13</v>
      </c>
      <c r="B100" s="47" t="s">
        <v>386</v>
      </c>
      <c r="E100" s="12">
        <v>0</v>
      </c>
      <c r="L100" s="12">
        <v>1</v>
      </c>
      <c r="W100">
        <f t="shared" si="10"/>
        <v>1</v>
      </c>
    </row>
    <row r="101" spans="1:23" x14ac:dyDescent="0.25">
      <c r="A101" s="16">
        <v>14</v>
      </c>
      <c r="B101" s="47" t="s">
        <v>387</v>
      </c>
      <c r="D101" s="12">
        <v>1</v>
      </c>
      <c r="F101" s="12">
        <v>1</v>
      </c>
      <c r="I101" s="12">
        <v>2</v>
      </c>
      <c r="M101" s="12">
        <v>1</v>
      </c>
      <c r="N101" s="12">
        <v>5</v>
      </c>
      <c r="O101" s="12">
        <v>0</v>
      </c>
      <c r="P101" s="12">
        <v>1</v>
      </c>
      <c r="Q101" s="12">
        <v>1</v>
      </c>
      <c r="W101">
        <f t="shared" si="10"/>
        <v>12</v>
      </c>
    </row>
    <row r="102" spans="1:23" x14ac:dyDescent="0.25">
      <c r="A102" s="15">
        <v>15</v>
      </c>
      <c r="B102" s="47" t="s">
        <v>388</v>
      </c>
      <c r="C102" s="12">
        <v>1</v>
      </c>
      <c r="E102" s="12">
        <v>0</v>
      </c>
      <c r="F102" s="12">
        <v>1</v>
      </c>
      <c r="M102" s="12">
        <v>1</v>
      </c>
      <c r="N102" s="12">
        <v>1</v>
      </c>
      <c r="Q102" s="12">
        <v>3</v>
      </c>
      <c r="W102">
        <f t="shared" si="10"/>
        <v>7</v>
      </c>
    </row>
    <row r="103" spans="1:23" x14ac:dyDescent="0.25">
      <c r="W103">
        <f t="shared" si="10"/>
        <v>0</v>
      </c>
    </row>
    <row r="113" spans="1:2" x14ac:dyDescent="0.25">
      <c r="A113" s="16"/>
      <c r="B113" s="47"/>
    </row>
    <row r="122" spans="1:2" x14ac:dyDescent="0.25">
      <c r="A122" s="16"/>
      <c r="B122" s="4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topLeftCell="A2" zoomScale="119" workbookViewId="0">
      <pane xSplit="2" ySplit="2" topLeftCell="C50" activePane="bottomRight" state="frozen"/>
      <selection activeCell="A2" sqref="A2"/>
      <selection pane="topRight" activeCell="B2" sqref="B2"/>
      <selection pane="bottomLeft" activeCell="A4" sqref="A4"/>
      <selection pane="bottomRight" activeCell="I11" sqref="I11"/>
    </sheetView>
  </sheetViews>
  <sheetFormatPr defaultRowHeight="15" x14ac:dyDescent="0.25"/>
  <cols>
    <col min="1" max="1" width="6.42578125" style="15" customWidth="1"/>
    <col min="2" max="2" width="43.85546875" bestFit="1" customWidth="1"/>
    <col min="3" max="3" width="12.7109375" style="12" bestFit="1" customWidth="1"/>
    <col min="4" max="4" width="10.85546875" style="12" bestFit="1" customWidth="1"/>
    <col min="5" max="5" width="8.5703125" style="12" bestFit="1" customWidth="1"/>
    <col min="6" max="6" width="10.140625" bestFit="1" customWidth="1"/>
    <col min="7" max="7" width="9.140625" customWidth="1"/>
    <col min="8" max="8" width="9.7109375" style="12" bestFit="1" customWidth="1"/>
    <col min="9" max="9" width="9" bestFit="1" customWidth="1"/>
    <col min="10" max="10" width="11.28515625" bestFit="1" customWidth="1"/>
    <col min="11" max="11" width="9" style="12" bestFit="1" customWidth="1"/>
    <col min="12" max="12" width="7.7109375" style="12" bestFit="1" customWidth="1"/>
    <col min="13" max="13" width="8" bestFit="1" customWidth="1"/>
    <col min="14" max="14" width="9.85546875" bestFit="1" customWidth="1"/>
    <col min="15" max="15" width="7.140625" bestFit="1" customWidth="1"/>
    <col min="16" max="16" width="8.7109375" bestFit="1" customWidth="1"/>
  </cols>
  <sheetData>
    <row r="1" spans="1:16" hidden="1" x14ac:dyDescent="0.25">
      <c r="A1" s="15" t="s">
        <v>41</v>
      </c>
    </row>
    <row r="2" spans="1:16" x14ac:dyDescent="0.25">
      <c r="C2" s="34" t="s">
        <v>42</v>
      </c>
      <c r="D2" s="34" t="s">
        <v>48</v>
      </c>
      <c r="E2" s="34" t="s">
        <v>43</v>
      </c>
      <c r="F2" s="1" t="s">
        <v>44</v>
      </c>
      <c r="G2" s="1" t="s">
        <v>45</v>
      </c>
      <c r="H2" s="34" t="s">
        <v>46</v>
      </c>
      <c r="I2" s="1" t="s">
        <v>47</v>
      </c>
      <c r="J2" s="1" t="s">
        <v>48</v>
      </c>
      <c r="K2" s="34" t="s">
        <v>49</v>
      </c>
      <c r="L2" s="34" t="s">
        <v>50</v>
      </c>
      <c r="M2" s="1" t="s">
        <v>51</v>
      </c>
      <c r="N2" s="1" t="s">
        <v>52</v>
      </c>
      <c r="O2" s="2" t="s">
        <v>53</v>
      </c>
      <c r="P2" s="1" t="s">
        <v>162</v>
      </c>
    </row>
    <row r="3" spans="1:16" x14ac:dyDescent="0.25">
      <c r="C3" s="34" t="s">
        <v>54</v>
      </c>
      <c r="D3" s="34" t="s">
        <v>407</v>
      </c>
      <c r="E3" s="34" t="s">
        <v>55</v>
      </c>
      <c r="F3" s="1" t="s">
        <v>141</v>
      </c>
      <c r="G3" s="1" t="s">
        <v>56</v>
      </c>
      <c r="H3" s="34" t="s">
        <v>57</v>
      </c>
      <c r="I3" s="1" t="s">
        <v>58</v>
      </c>
      <c r="J3" s="1" t="s">
        <v>59</v>
      </c>
      <c r="K3" s="34" t="s">
        <v>60</v>
      </c>
      <c r="L3" s="34" t="s">
        <v>435</v>
      </c>
      <c r="M3" s="1" t="s">
        <v>61</v>
      </c>
      <c r="N3" s="1" t="s">
        <v>27</v>
      </c>
      <c r="O3" s="2"/>
    </row>
    <row r="4" spans="1:16" x14ac:dyDescent="0.25">
      <c r="A4" s="10" t="s">
        <v>0</v>
      </c>
      <c r="C4" s="12">
        <v>2</v>
      </c>
      <c r="D4" s="12">
        <v>4</v>
      </c>
      <c r="E4" s="12">
        <f t="shared" ref="E4:O4" si="0">SUM(E5:E9)</f>
        <v>0</v>
      </c>
      <c r="F4">
        <f t="shared" si="0"/>
        <v>0</v>
      </c>
      <c r="G4">
        <v>2</v>
      </c>
      <c r="H4" s="12">
        <v>3</v>
      </c>
      <c r="I4">
        <v>0</v>
      </c>
      <c r="J4">
        <f t="shared" si="0"/>
        <v>0</v>
      </c>
      <c r="K4" s="12">
        <v>3</v>
      </c>
      <c r="L4" s="12">
        <v>1</v>
      </c>
      <c r="M4" s="12">
        <v>2</v>
      </c>
      <c r="N4">
        <f t="shared" si="0"/>
        <v>0</v>
      </c>
      <c r="O4">
        <f t="shared" si="0"/>
        <v>0</v>
      </c>
      <c r="P4">
        <f>SUM(C4:O4)</f>
        <v>17</v>
      </c>
    </row>
    <row r="5" spans="1:16" x14ac:dyDescent="0.25">
      <c r="A5" s="15" t="s">
        <v>1</v>
      </c>
      <c r="P5">
        <f t="shared" ref="P5:P68" si="1">SUM(C5:O5)</f>
        <v>0</v>
      </c>
    </row>
    <row r="6" spans="1:16" x14ac:dyDescent="0.25">
      <c r="A6" s="15" t="s">
        <v>2</v>
      </c>
      <c r="D6" s="12">
        <v>0</v>
      </c>
      <c r="I6">
        <v>0</v>
      </c>
      <c r="P6">
        <f t="shared" si="1"/>
        <v>0</v>
      </c>
    </row>
    <row r="7" spans="1:16" x14ac:dyDescent="0.25">
      <c r="A7" s="15" t="s">
        <v>3</v>
      </c>
      <c r="D7" s="12">
        <v>0</v>
      </c>
      <c r="P7">
        <f t="shared" si="1"/>
        <v>0</v>
      </c>
    </row>
    <row r="8" spans="1:16" x14ac:dyDescent="0.25">
      <c r="A8" s="15" t="s">
        <v>4</v>
      </c>
      <c r="P8">
        <f t="shared" si="1"/>
        <v>0</v>
      </c>
    </row>
    <row r="9" spans="1:16" x14ac:dyDescent="0.25">
      <c r="A9" s="15" t="s">
        <v>5</v>
      </c>
      <c r="P9">
        <f t="shared" si="1"/>
        <v>0</v>
      </c>
    </row>
    <row r="10" spans="1:16" x14ac:dyDescent="0.25">
      <c r="A10" s="10" t="s">
        <v>309</v>
      </c>
      <c r="B10" s="2"/>
      <c r="C10" s="12">
        <f>C17-C22</f>
        <v>0</v>
      </c>
      <c r="D10" s="12">
        <v>339</v>
      </c>
      <c r="E10" s="12">
        <f t="shared" ref="E10:O10" si="2">E17-E22</f>
        <v>60</v>
      </c>
      <c r="F10">
        <f t="shared" si="2"/>
        <v>0</v>
      </c>
      <c r="G10">
        <f t="shared" si="2"/>
        <v>-1</v>
      </c>
      <c r="H10">
        <f t="shared" si="2"/>
        <v>0</v>
      </c>
      <c r="I10">
        <f t="shared" si="2"/>
        <v>0</v>
      </c>
      <c r="J10">
        <f t="shared" si="2"/>
        <v>0</v>
      </c>
      <c r="K10" s="12">
        <v>0</v>
      </c>
      <c r="L10" s="12">
        <f>L1113</f>
        <v>0</v>
      </c>
      <c r="N10">
        <f t="shared" si="2"/>
        <v>139</v>
      </c>
      <c r="O10">
        <f t="shared" si="2"/>
        <v>51</v>
      </c>
      <c r="P10">
        <f t="shared" si="1"/>
        <v>588</v>
      </c>
    </row>
    <row r="11" spans="1:16" x14ac:dyDescent="0.25">
      <c r="A11" s="15" t="s">
        <v>310</v>
      </c>
      <c r="C11" s="12">
        <v>0</v>
      </c>
      <c r="D11" s="12">
        <v>107</v>
      </c>
      <c r="E11" s="12">
        <v>60</v>
      </c>
      <c r="G11">
        <v>0</v>
      </c>
      <c r="K11" s="12">
        <v>0</v>
      </c>
      <c r="L11" s="12">
        <v>11</v>
      </c>
      <c r="M11" s="12">
        <v>84</v>
      </c>
      <c r="N11">
        <v>61</v>
      </c>
      <c r="O11">
        <v>20</v>
      </c>
      <c r="P11">
        <f t="shared" si="1"/>
        <v>343</v>
      </c>
    </row>
    <row r="12" spans="1:16" x14ac:dyDescent="0.25">
      <c r="A12" s="15" t="s">
        <v>311</v>
      </c>
      <c r="C12" s="12">
        <v>0</v>
      </c>
      <c r="D12" s="12">
        <v>182</v>
      </c>
      <c r="G12">
        <v>0</v>
      </c>
      <c r="K12" s="12">
        <v>0</v>
      </c>
      <c r="L12" s="12">
        <v>10</v>
      </c>
      <c r="M12" s="12">
        <v>30</v>
      </c>
      <c r="N12">
        <v>9</v>
      </c>
      <c r="O12">
        <v>9</v>
      </c>
      <c r="P12">
        <f t="shared" si="1"/>
        <v>240</v>
      </c>
    </row>
    <row r="13" spans="1:16" x14ac:dyDescent="0.25">
      <c r="A13" s="15">
        <v>1</v>
      </c>
      <c r="B13" t="s">
        <v>312</v>
      </c>
      <c r="C13" s="12">
        <v>0</v>
      </c>
      <c r="D13" s="12">
        <v>0</v>
      </c>
      <c r="E13" s="12">
        <v>0</v>
      </c>
      <c r="G13">
        <v>0</v>
      </c>
      <c r="K13" s="12">
        <v>0</v>
      </c>
      <c r="L13" s="12">
        <v>0</v>
      </c>
      <c r="N13">
        <v>70</v>
      </c>
      <c r="O13">
        <v>22</v>
      </c>
      <c r="P13">
        <f t="shared" si="1"/>
        <v>92</v>
      </c>
    </row>
    <row r="14" spans="1:16" x14ac:dyDescent="0.25">
      <c r="A14" s="15">
        <v>2</v>
      </c>
      <c r="B14" t="s">
        <v>313</v>
      </c>
      <c r="D14" s="12">
        <v>0</v>
      </c>
      <c r="G14">
        <v>0</v>
      </c>
      <c r="K14" s="12">
        <v>0</v>
      </c>
      <c r="M14">
        <v>2</v>
      </c>
      <c r="P14">
        <f t="shared" si="1"/>
        <v>2</v>
      </c>
    </row>
    <row r="15" spans="1:16" x14ac:dyDescent="0.25">
      <c r="A15" s="15">
        <v>3</v>
      </c>
      <c r="B15" t="s">
        <v>314</v>
      </c>
      <c r="D15" s="12">
        <v>0</v>
      </c>
      <c r="K15" s="12">
        <v>0</v>
      </c>
      <c r="P15">
        <f t="shared" si="1"/>
        <v>0</v>
      </c>
    </row>
    <row r="16" spans="1:16" x14ac:dyDescent="0.25">
      <c r="A16" s="15">
        <v>4</v>
      </c>
      <c r="B16" t="s">
        <v>315</v>
      </c>
      <c r="E16" s="12">
        <v>2</v>
      </c>
      <c r="M16">
        <v>2</v>
      </c>
      <c r="P16">
        <f t="shared" si="1"/>
        <v>4</v>
      </c>
    </row>
    <row r="17" spans="1:16" x14ac:dyDescent="0.25">
      <c r="A17" s="10" t="s">
        <v>428</v>
      </c>
      <c r="C17" s="12">
        <f>SUM(C11:C16)</f>
        <v>0</v>
      </c>
      <c r="D17" s="12">
        <f t="shared" ref="D17:O17" si="3">SUM(D11:D16)</f>
        <v>289</v>
      </c>
      <c r="E17" s="12">
        <f t="shared" si="3"/>
        <v>62</v>
      </c>
      <c r="F17">
        <f t="shared" si="3"/>
        <v>0</v>
      </c>
      <c r="G17">
        <f t="shared" si="3"/>
        <v>0</v>
      </c>
      <c r="H17" s="12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21</v>
      </c>
      <c r="M17">
        <f t="shared" si="3"/>
        <v>118</v>
      </c>
      <c r="N17">
        <f t="shared" si="3"/>
        <v>140</v>
      </c>
      <c r="O17">
        <f t="shared" si="3"/>
        <v>51</v>
      </c>
      <c r="P17">
        <f t="shared" si="1"/>
        <v>681</v>
      </c>
    </row>
    <row r="18" spans="1:16" x14ac:dyDescent="0.25">
      <c r="A18" s="16"/>
      <c r="B18" s="17"/>
      <c r="P18">
        <f t="shared" si="1"/>
        <v>0</v>
      </c>
    </row>
    <row r="19" spans="1:16" x14ac:dyDescent="0.25">
      <c r="A19" s="15">
        <v>5</v>
      </c>
      <c r="B19" t="s">
        <v>316</v>
      </c>
      <c r="P19">
        <f t="shared" si="1"/>
        <v>0</v>
      </c>
    </row>
    <row r="20" spans="1:16" x14ac:dyDescent="0.25">
      <c r="A20" s="15">
        <v>6</v>
      </c>
      <c r="B20" t="s">
        <v>317</v>
      </c>
      <c r="P20">
        <f t="shared" si="1"/>
        <v>0</v>
      </c>
    </row>
    <row r="21" spans="1:16" x14ac:dyDescent="0.25">
      <c r="A21" s="15">
        <v>7</v>
      </c>
      <c r="B21" t="s">
        <v>318</v>
      </c>
      <c r="C21" s="12">
        <v>0</v>
      </c>
      <c r="D21" s="12">
        <v>1</v>
      </c>
      <c r="E21" s="12">
        <v>2</v>
      </c>
      <c r="G21">
        <v>1</v>
      </c>
      <c r="K21" s="12">
        <v>0</v>
      </c>
      <c r="N21">
        <v>1</v>
      </c>
      <c r="P21">
        <f t="shared" si="1"/>
        <v>5</v>
      </c>
    </row>
    <row r="22" spans="1:16" x14ac:dyDescent="0.25">
      <c r="A22" s="10" t="s">
        <v>429</v>
      </c>
      <c r="C22" s="12">
        <f>SUM(C19:C21)</f>
        <v>0</v>
      </c>
      <c r="E22" s="12">
        <f t="shared" ref="E22:O22" si="4">SUM(E19:E21)</f>
        <v>2</v>
      </c>
      <c r="F22">
        <f t="shared" si="4"/>
        <v>0</v>
      </c>
      <c r="G22">
        <f t="shared" si="4"/>
        <v>1</v>
      </c>
      <c r="H22" s="12">
        <f t="shared" si="4"/>
        <v>0</v>
      </c>
      <c r="I22">
        <f t="shared" si="4"/>
        <v>0</v>
      </c>
      <c r="J22">
        <f t="shared" si="4"/>
        <v>0</v>
      </c>
      <c r="K22" s="12">
        <f t="shared" si="4"/>
        <v>0</v>
      </c>
      <c r="L22" s="12">
        <f t="shared" si="4"/>
        <v>0</v>
      </c>
      <c r="M22">
        <f t="shared" si="4"/>
        <v>0</v>
      </c>
      <c r="N22">
        <f t="shared" si="4"/>
        <v>1</v>
      </c>
      <c r="O22">
        <f t="shared" si="4"/>
        <v>0</v>
      </c>
      <c r="P22">
        <f t="shared" si="1"/>
        <v>4</v>
      </c>
    </row>
    <row r="23" spans="1:16" x14ac:dyDescent="0.25">
      <c r="P23">
        <f t="shared" si="1"/>
        <v>0</v>
      </c>
    </row>
    <row r="24" spans="1:16" x14ac:dyDescent="0.25">
      <c r="A24" s="16">
        <v>8</v>
      </c>
      <c r="B24" s="17" t="s">
        <v>319</v>
      </c>
      <c r="L24" s="12">
        <v>0</v>
      </c>
      <c r="P24">
        <f t="shared" si="1"/>
        <v>0</v>
      </c>
    </row>
    <row r="25" spans="1:16" x14ac:dyDescent="0.25">
      <c r="A25" s="16">
        <v>9</v>
      </c>
      <c r="B25" s="17" t="s">
        <v>320</v>
      </c>
      <c r="C25" s="12">
        <v>0</v>
      </c>
      <c r="K25" s="12">
        <v>0</v>
      </c>
      <c r="P25">
        <f t="shared" si="1"/>
        <v>0</v>
      </c>
    </row>
    <row r="26" spans="1:16" x14ac:dyDescent="0.25">
      <c r="A26" s="15">
        <v>10</v>
      </c>
      <c r="B26" t="s">
        <v>321</v>
      </c>
      <c r="C26" s="12">
        <v>70</v>
      </c>
      <c r="D26" s="12">
        <v>45</v>
      </c>
      <c r="E26" s="12">
        <v>18</v>
      </c>
      <c r="F26" s="12">
        <v>13</v>
      </c>
      <c r="G26">
        <v>0</v>
      </c>
      <c r="H26" s="12">
        <v>222</v>
      </c>
      <c r="L26" s="12">
        <v>6</v>
      </c>
      <c r="N26">
        <v>36</v>
      </c>
      <c r="O26">
        <v>9</v>
      </c>
      <c r="P26">
        <f t="shared" si="1"/>
        <v>419</v>
      </c>
    </row>
    <row r="27" spans="1:16" x14ac:dyDescent="0.25">
      <c r="A27" s="16">
        <v>11</v>
      </c>
      <c r="B27" s="17" t="s">
        <v>322</v>
      </c>
      <c r="C27" s="12">
        <v>63</v>
      </c>
      <c r="D27" s="12">
        <v>27</v>
      </c>
      <c r="K27" s="12">
        <v>0</v>
      </c>
      <c r="O27">
        <v>9</v>
      </c>
      <c r="P27">
        <f t="shared" si="1"/>
        <v>99</v>
      </c>
    </row>
    <row r="28" spans="1:16" x14ac:dyDescent="0.25">
      <c r="A28" s="16">
        <v>12</v>
      </c>
      <c r="B28" s="17" t="s">
        <v>323</v>
      </c>
      <c r="D28" s="12">
        <v>0</v>
      </c>
      <c r="P28">
        <f t="shared" si="1"/>
        <v>0</v>
      </c>
    </row>
    <row r="29" spans="1:16" ht="30" x14ac:dyDescent="0.25">
      <c r="A29" s="16">
        <v>13</v>
      </c>
      <c r="B29" s="17" t="s">
        <v>324</v>
      </c>
      <c r="D29" s="12">
        <v>2</v>
      </c>
      <c r="E29" s="12">
        <v>2</v>
      </c>
      <c r="K29" s="12">
        <v>3</v>
      </c>
      <c r="L29" s="12">
        <v>2</v>
      </c>
      <c r="M29">
        <v>3</v>
      </c>
      <c r="P29">
        <f t="shared" si="1"/>
        <v>12</v>
      </c>
    </row>
    <row r="30" spans="1:16" x14ac:dyDescent="0.25">
      <c r="P30">
        <f t="shared" si="1"/>
        <v>0</v>
      </c>
    </row>
    <row r="31" spans="1:16" ht="45" x14ac:dyDescent="0.25">
      <c r="B31" s="11" t="s">
        <v>325</v>
      </c>
      <c r="P31">
        <f t="shared" si="1"/>
        <v>0</v>
      </c>
    </row>
    <row r="32" spans="1:16" x14ac:dyDescent="0.25">
      <c r="A32" s="15">
        <v>1</v>
      </c>
      <c r="B32" s="17" t="s">
        <v>326</v>
      </c>
      <c r="C32" s="12">
        <v>0</v>
      </c>
      <c r="D32" s="12">
        <v>289</v>
      </c>
      <c r="G32">
        <v>107</v>
      </c>
      <c r="H32" s="12">
        <v>1771</v>
      </c>
      <c r="K32" s="12">
        <v>210</v>
      </c>
      <c r="L32" s="12">
        <v>0</v>
      </c>
      <c r="M32">
        <v>2</v>
      </c>
      <c r="N32">
        <v>20</v>
      </c>
      <c r="O32">
        <v>11</v>
      </c>
      <c r="P32">
        <f t="shared" si="1"/>
        <v>2410</v>
      </c>
    </row>
    <row r="33" spans="1:16" x14ac:dyDescent="0.25">
      <c r="A33" s="15">
        <v>2</v>
      </c>
      <c r="B33" s="17" t="s">
        <v>327</v>
      </c>
      <c r="C33" s="12">
        <v>0</v>
      </c>
      <c r="D33" s="12">
        <v>58</v>
      </c>
      <c r="H33" s="12">
        <v>139</v>
      </c>
      <c r="K33" s="12">
        <v>148</v>
      </c>
      <c r="L33" s="12">
        <v>0</v>
      </c>
      <c r="P33">
        <f t="shared" si="1"/>
        <v>345</v>
      </c>
    </row>
    <row r="34" spans="1:16" x14ac:dyDescent="0.25">
      <c r="A34" s="15">
        <v>3</v>
      </c>
      <c r="B34" s="17" t="s">
        <v>328</v>
      </c>
      <c r="C34" s="12">
        <v>0</v>
      </c>
      <c r="D34" s="12">
        <v>17</v>
      </c>
      <c r="F34" s="12">
        <v>23</v>
      </c>
      <c r="K34" s="12">
        <v>0</v>
      </c>
      <c r="L34" s="12">
        <v>0</v>
      </c>
      <c r="M34">
        <v>0</v>
      </c>
      <c r="P34">
        <f t="shared" si="1"/>
        <v>40</v>
      </c>
    </row>
    <row r="35" spans="1:16" x14ac:dyDescent="0.25">
      <c r="A35" s="16">
        <v>4</v>
      </c>
      <c r="B35" s="17" t="s">
        <v>329</v>
      </c>
      <c r="C35" s="12">
        <v>0</v>
      </c>
      <c r="D35" s="12">
        <v>62</v>
      </c>
      <c r="G35" s="12">
        <v>46</v>
      </c>
      <c r="H35" s="12">
        <v>101</v>
      </c>
      <c r="K35" s="12">
        <v>28</v>
      </c>
      <c r="P35">
        <f t="shared" si="1"/>
        <v>237</v>
      </c>
    </row>
    <row r="36" spans="1:16" x14ac:dyDescent="0.25">
      <c r="A36" s="16">
        <v>5</v>
      </c>
      <c r="B36" s="17" t="s">
        <v>330</v>
      </c>
      <c r="C36" s="12">
        <v>0</v>
      </c>
      <c r="D36" s="12">
        <v>18</v>
      </c>
      <c r="H36" s="12">
        <v>172</v>
      </c>
      <c r="K36" s="12">
        <v>16</v>
      </c>
      <c r="L36" s="12">
        <v>0</v>
      </c>
      <c r="M36">
        <v>0</v>
      </c>
      <c r="N36">
        <v>1</v>
      </c>
      <c r="P36">
        <f t="shared" si="1"/>
        <v>207</v>
      </c>
    </row>
    <row r="37" spans="1:16" x14ac:dyDescent="0.25">
      <c r="A37" s="15">
        <v>6</v>
      </c>
      <c r="B37" s="17" t="s">
        <v>331</v>
      </c>
      <c r="P37">
        <f t="shared" si="1"/>
        <v>0</v>
      </c>
    </row>
    <row r="38" spans="1:16" x14ac:dyDescent="0.25">
      <c r="P38">
        <f t="shared" si="1"/>
        <v>0</v>
      </c>
    </row>
    <row r="39" spans="1:16" x14ac:dyDescent="0.25">
      <c r="A39" s="15" t="s">
        <v>430</v>
      </c>
      <c r="C39" s="12">
        <f>SUM(C40:C49)</f>
        <v>22</v>
      </c>
      <c r="E39" s="12">
        <f t="shared" ref="E39:O39" si="5">SUM(E40:E49)</f>
        <v>33</v>
      </c>
      <c r="F39">
        <f t="shared" si="5"/>
        <v>31</v>
      </c>
      <c r="G39">
        <f t="shared" si="5"/>
        <v>16</v>
      </c>
      <c r="H39" s="12">
        <f t="shared" si="5"/>
        <v>20</v>
      </c>
      <c r="I39">
        <f t="shared" si="5"/>
        <v>14</v>
      </c>
      <c r="J39">
        <f t="shared" si="5"/>
        <v>0</v>
      </c>
      <c r="K39" s="12">
        <f t="shared" si="5"/>
        <v>19</v>
      </c>
      <c r="L39" s="12">
        <f t="shared" si="5"/>
        <v>13</v>
      </c>
      <c r="M39">
        <v>0</v>
      </c>
      <c r="N39">
        <f t="shared" si="5"/>
        <v>17</v>
      </c>
      <c r="O39">
        <f t="shared" si="5"/>
        <v>9</v>
      </c>
      <c r="P39">
        <f t="shared" si="1"/>
        <v>194</v>
      </c>
    </row>
    <row r="40" spans="1:16" x14ac:dyDescent="0.25">
      <c r="A40" s="15">
        <v>1</v>
      </c>
      <c r="B40" s="17" t="s">
        <v>332</v>
      </c>
      <c r="C40" s="12">
        <v>13</v>
      </c>
      <c r="E40" s="12">
        <v>13</v>
      </c>
      <c r="F40" s="12">
        <v>12</v>
      </c>
      <c r="G40">
        <v>13</v>
      </c>
      <c r="H40" s="12">
        <v>13</v>
      </c>
      <c r="I40" s="12">
        <v>13</v>
      </c>
      <c r="K40" s="12">
        <v>13</v>
      </c>
      <c r="L40" s="12">
        <v>10</v>
      </c>
      <c r="M40">
        <v>13</v>
      </c>
      <c r="N40">
        <v>13</v>
      </c>
      <c r="O40">
        <v>9</v>
      </c>
      <c r="P40">
        <f t="shared" si="1"/>
        <v>135</v>
      </c>
    </row>
    <row r="41" spans="1:16" x14ac:dyDescent="0.25">
      <c r="A41" s="15">
        <v>2</v>
      </c>
      <c r="B41" s="17" t="s">
        <v>333</v>
      </c>
      <c r="C41" s="12">
        <v>2</v>
      </c>
      <c r="E41" s="12">
        <v>2</v>
      </c>
      <c r="F41" s="12">
        <v>2</v>
      </c>
      <c r="G41">
        <v>3</v>
      </c>
      <c r="H41" s="12">
        <v>4</v>
      </c>
      <c r="I41" s="12">
        <v>1</v>
      </c>
      <c r="K41" s="12">
        <v>5</v>
      </c>
      <c r="L41" s="12">
        <v>0</v>
      </c>
      <c r="M41" s="12">
        <v>1</v>
      </c>
      <c r="N41">
        <v>3</v>
      </c>
      <c r="P41">
        <f t="shared" si="1"/>
        <v>23</v>
      </c>
    </row>
    <row r="42" spans="1:16" x14ac:dyDescent="0.25">
      <c r="A42" s="15">
        <v>3</v>
      </c>
      <c r="B42" s="17" t="s">
        <v>334</v>
      </c>
      <c r="C42" s="12">
        <v>0</v>
      </c>
      <c r="D42" s="12">
        <v>1</v>
      </c>
      <c r="E42" s="12">
        <v>0</v>
      </c>
      <c r="G42">
        <v>0</v>
      </c>
      <c r="K42" s="12">
        <v>0</v>
      </c>
      <c r="L42" s="12">
        <v>3</v>
      </c>
      <c r="P42">
        <f t="shared" si="1"/>
        <v>4</v>
      </c>
    </row>
    <row r="43" spans="1:16" x14ac:dyDescent="0.25">
      <c r="A43" s="15">
        <v>4</v>
      </c>
      <c r="B43" s="17" t="s">
        <v>335</v>
      </c>
      <c r="F43">
        <v>8</v>
      </c>
      <c r="G43">
        <v>0</v>
      </c>
      <c r="H43" s="12">
        <v>0</v>
      </c>
      <c r="L43" s="12">
        <v>0</v>
      </c>
      <c r="M43">
        <v>0</v>
      </c>
      <c r="P43">
        <f t="shared" si="1"/>
        <v>8</v>
      </c>
    </row>
    <row r="44" spans="1:16" x14ac:dyDescent="0.25">
      <c r="A44" s="15">
        <v>5</v>
      </c>
      <c r="B44" s="17" t="s">
        <v>336</v>
      </c>
      <c r="H44" s="12">
        <v>0</v>
      </c>
      <c r="K44" s="12">
        <v>0</v>
      </c>
      <c r="L44" s="12">
        <v>0</v>
      </c>
      <c r="P44">
        <f t="shared" si="1"/>
        <v>0</v>
      </c>
    </row>
    <row r="45" spans="1:16" x14ac:dyDescent="0.25">
      <c r="A45" s="15">
        <v>6</v>
      </c>
      <c r="B45" s="17" t="s">
        <v>337</v>
      </c>
      <c r="C45" s="12">
        <v>0</v>
      </c>
      <c r="M45">
        <v>0</v>
      </c>
      <c r="P45">
        <f t="shared" si="1"/>
        <v>0</v>
      </c>
    </row>
    <row r="46" spans="1:16" x14ac:dyDescent="0.25">
      <c r="A46" s="15">
        <v>7</v>
      </c>
      <c r="B46" s="17" t="s">
        <v>338</v>
      </c>
      <c r="C46" s="12">
        <v>0</v>
      </c>
      <c r="D46" s="12">
        <v>3</v>
      </c>
      <c r="E46" s="12">
        <v>2</v>
      </c>
      <c r="H46" s="12">
        <v>1</v>
      </c>
      <c r="K46" s="12">
        <v>0</v>
      </c>
      <c r="N46">
        <v>1</v>
      </c>
      <c r="P46">
        <f t="shared" si="1"/>
        <v>7</v>
      </c>
    </row>
    <row r="47" spans="1:16" x14ac:dyDescent="0.25">
      <c r="A47" s="15">
        <v>8</v>
      </c>
      <c r="B47" s="17" t="s">
        <v>339</v>
      </c>
      <c r="C47" s="12">
        <v>1</v>
      </c>
      <c r="D47" s="12">
        <v>0</v>
      </c>
      <c r="G47">
        <v>0</v>
      </c>
      <c r="H47" s="12">
        <v>1</v>
      </c>
      <c r="K47" s="12">
        <v>1</v>
      </c>
      <c r="L47" s="12">
        <v>0</v>
      </c>
      <c r="P47">
        <f t="shared" si="1"/>
        <v>3</v>
      </c>
    </row>
    <row r="48" spans="1:16" x14ac:dyDescent="0.25">
      <c r="A48" s="15">
        <v>9</v>
      </c>
      <c r="B48" s="17" t="s">
        <v>340</v>
      </c>
      <c r="C48" s="12">
        <v>0</v>
      </c>
      <c r="D48" s="12">
        <v>7</v>
      </c>
      <c r="E48" s="12">
        <v>16</v>
      </c>
      <c r="F48" s="12">
        <v>9</v>
      </c>
      <c r="G48">
        <v>0</v>
      </c>
      <c r="H48" s="12">
        <v>0</v>
      </c>
      <c r="K48" s="12">
        <v>0</v>
      </c>
      <c r="L48" s="12">
        <v>0</v>
      </c>
      <c r="P48">
        <f t="shared" si="1"/>
        <v>32</v>
      </c>
    </row>
    <row r="49" spans="1:16" x14ac:dyDescent="0.25">
      <c r="A49" s="15">
        <v>10</v>
      </c>
      <c r="B49" s="17" t="s">
        <v>341</v>
      </c>
      <c r="C49" s="12">
        <v>6</v>
      </c>
      <c r="D49" s="12">
        <v>5</v>
      </c>
      <c r="H49" s="12">
        <v>1</v>
      </c>
      <c r="M49">
        <v>0</v>
      </c>
      <c r="P49">
        <f t="shared" si="1"/>
        <v>12</v>
      </c>
    </row>
    <row r="50" spans="1:16" x14ac:dyDescent="0.25">
      <c r="P50">
        <f t="shared" si="1"/>
        <v>0</v>
      </c>
    </row>
    <row r="51" spans="1:16" x14ac:dyDescent="0.25">
      <c r="A51" s="15" t="s">
        <v>431</v>
      </c>
      <c r="C51" s="12">
        <f>SUM(C52:C61)</f>
        <v>36</v>
      </c>
      <c r="D51" s="12">
        <f t="shared" ref="D51:O51" si="6">SUM(D52:D61)</f>
        <v>8</v>
      </c>
      <c r="E51" s="12">
        <f t="shared" si="6"/>
        <v>9</v>
      </c>
      <c r="F51">
        <f t="shared" si="6"/>
        <v>8</v>
      </c>
      <c r="G51">
        <f t="shared" si="6"/>
        <v>13</v>
      </c>
      <c r="H51" s="12">
        <f t="shared" si="6"/>
        <v>15</v>
      </c>
      <c r="I51">
        <f t="shared" si="6"/>
        <v>11</v>
      </c>
      <c r="J51">
        <f t="shared" si="6"/>
        <v>0</v>
      </c>
      <c r="K51" s="12">
        <f t="shared" si="6"/>
        <v>16</v>
      </c>
      <c r="L51" s="12">
        <v>0</v>
      </c>
      <c r="M51">
        <f t="shared" si="6"/>
        <v>8</v>
      </c>
      <c r="N51">
        <f t="shared" si="6"/>
        <v>23</v>
      </c>
      <c r="O51">
        <f t="shared" si="6"/>
        <v>6</v>
      </c>
      <c r="P51">
        <f t="shared" si="1"/>
        <v>153</v>
      </c>
    </row>
    <row r="52" spans="1:16" x14ac:dyDescent="0.25">
      <c r="A52" s="15">
        <v>1</v>
      </c>
      <c r="B52" s="17" t="s">
        <v>342</v>
      </c>
      <c r="C52" s="12">
        <v>9</v>
      </c>
      <c r="E52" s="12">
        <v>2</v>
      </c>
      <c r="G52">
        <v>6</v>
      </c>
      <c r="H52" s="12">
        <v>6</v>
      </c>
      <c r="I52" s="12">
        <v>2</v>
      </c>
      <c r="K52" s="12">
        <v>3</v>
      </c>
      <c r="L52" s="12">
        <v>1</v>
      </c>
      <c r="M52">
        <v>0</v>
      </c>
      <c r="N52">
        <v>15</v>
      </c>
      <c r="P52">
        <f t="shared" si="1"/>
        <v>44</v>
      </c>
    </row>
    <row r="53" spans="1:16" x14ac:dyDescent="0.25">
      <c r="A53" s="15">
        <v>2</v>
      </c>
      <c r="B53" s="17" t="s">
        <v>343</v>
      </c>
      <c r="C53" s="12">
        <v>0</v>
      </c>
      <c r="H53" s="12">
        <v>1</v>
      </c>
      <c r="K53" s="12">
        <v>0</v>
      </c>
      <c r="L53" s="12">
        <v>2</v>
      </c>
      <c r="P53">
        <f t="shared" si="1"/>
        <v>3</v>
      </c>
    </row>
    <row r="54" spans="1:16" x14ac:dyDescent="0.25">
      <c r="A54" s="15">
        <v>3</v>
      </c>
      <c r="B54" s="17" t="s">
        <v>344</v>
      </c>
      <c r="H54" s="12">
        <v>0</v>
      </c>
      <c r="P54">
        <f t="shared" si="1"/>
        <v>0</v>
      </c>
    </row>
    <row r="55" spans="1:16" x14ac:dyDescent="0.25">
      <c r="A55" s="15">
        <v>4</v>
      </c>
      <c r="B55" s="17" t="s">
        <v>345</v>
      </c>
      <c r="H55" s="12">
        <v>0</v>
      </c>
      <c r="M55">
        <v>0</v>
      </c>
      <c r="P55">
        <f t="shared" si="1"/>
        <v>0</v>
      </c>
    </row>
    <row r="56" spans="1:16" x14ac:dyDescent="0.25">
      <c r="A56" s="15">
        <v>5</v>
      </c>
      <c r="B56" s="17" t="s">
        <v>346</v>
      </c>
      <c r="H56" s="12">
        <v>0</v>
      </c>
      <c r="P56">
        <f t="shared" si="1"/>
        <v>0</v>
      </c>
    </row>
    <row r="57" spans="1:16" x14ac:dyDescent="0.25">
      <c r="A57" s="15">
        <v>6</v>
      </c>
      <c r="B57" s="17" t="s">
        <v>347</v>
      </c>
      <c r="O57">
        <v>6</v>
      </c>
      <c r="P57">
        <f t="shared" si="1"/>
        <v>6</v>
      </c>
    </row>
    <row r="58" spans="1:16" x14ac:dyDescent="0.25">
      <c r="A58" s="15">
        <v>7</v>
      </c>
      <c r="B58" s="17" t="s">
        <v>348</v>
      </c>
      <c r="C58" s="12">
        <v>24</v>
      </c>
      <c r="D58" s="12">
        <v>8</v>
      </c>
      <c r="E58" s="12">
        <v>7</v>
      </c>
      <c r="F58" s="12">
        <v>8</v>
      </c>
      <c r="G58">
        <v>7</v>
      </c>
      <c r="H58" s="12">
        <v>8</v>
      </c>
      <c r="I58">
        <v>9</v>
      </c>
      <c r="K58" s="12">
        <v>13</v>
      </c>
      <c r="L58" s="12">
        <v>3</v>
      </c>
      <c r="M58" s="12">
        <v>8</v>
      </c>
      <c r="N58">
        <v>8</v>
      </c>
      <c r="P58">
        <f t="shared" si="1"/>
        <v>103</v>
      </c>
    </row>
    <row r="59" spans="1:16" x14ac:dyDescent="0.25">
      <c r="A59" s="15">
        <v>8</v>
      </c>
      <c r="B59" s="17" t="s">
        <v>349</v>
      </c>
      <c r="C59" s="12">
        <v>0</v>
      </c>
      <c r="P59">
        <f t="shared" si="1"/>
        <v>0</v>
      </c>
    </row>
    <row r="60" spans="1:16" x14ac:dyDescent="0.25">
      <c r="A60" s="15">
        <v>9</v>
      </c>
      <c r="B60" s="17" t="s">
        <v>350</v>
      </c>
      <c r="G60">
        <v>0</v>
      </c>
      <c r="K60" s="12">
        <v>0</v>
      </c>
      <c r="L60" s="12">
        <v>0</v>
      </c>
      <c r="P60">
        <f t="shared" si="1"/>
        <v>0</v>
      </c>
    </row>
    <row r="61" spans="1:16" x14ac:dyDescent="0.25">
      <c r="A61" s="15">
        <v>10</v>
      </c>
      <c r="B61" s="17" t="s">
        <v>351</v>
      </c>
      <c r="C61" s="12">
        <v>3</v>
      </c>
      <c r="P61">
        <f t="shared" si="1"/>
        <v>3</v>
      </c>
    </row>
    <row r="62" spans="1:16" x14ac:dyDescent="0.25">
      <c r="A62" s="16"/>
      <c r="B62" s="17"/>
      <c r="P62">
        <f t="shared" si="1"/>
        <v>0</v>
      </c>
    </row>
    <row r="63" spans="1:16" x14ac:dyDescent="0.25">
      <c r="A63" s="10" t="s">
        <v>352</v>
      </c>
      <c r="P63">
        <f t="shared" si="1"/>
        <v>0</v>
      </c>
    </row>
    <row r="64" spans="1:16" x14ac:dyDescent="0.25">
      <c r="A64" s="15">
        <v>1</v>
      </c>
      <c r="B64" s="17" t="s">
        <v>353</v>
      </c>
      <c r="C64" s="12">
        <v>50</v>
      </c>
      <c r="E64" s="12">
        <v>7</v>
      </c>
      <c r="F64" s="12">
        <v>20</v>
      </c>
      <c r="H64" s="12">
        <v>85</v>
      </c>
      <c r="I64">
        <v>56</v>
      </c>
      <c r="K64" s="12">
        <v>0</v>
      </c>
      <c r="L64" s="12">
        <v>10</v>
      </c>
      <c r="M64">
        <v>36</v>
      </c>
      <c r="N64">
        <v>61</v>
      </c>
      <c r="O64">
        <v>20</v>
      </c>
      <c r="P64">
        <f t="shared" si="1"/>
        <v>345</v>
      </c>
    </row>
    <row r="65" spans="1:16" x14ac:dyDescent="0.25">
      <c r="A65" s="15">
        <v>2</v>
      </c>
      <c r="B65" s="17" t="s">
        <v>354</v>
      </c>
      <c r="C65" s="12">
        <v>0</v>
      </c>
      <c r="D65" s="12">
        <v>0</v>
      </c>
      <c r="H65" s="12">
        <v>0</v>
      </c>
      <c r="I65">
        <v>0</v>
      </c>
      <c r="K65" s="12">
        <v>0</v>
      </c>
      <c r="M65">
        <v>0</v>
      </c>
      <c r="O65">
        <v>0</v>
      </c>
      <c r="P65">
        <f t="shared" si="1"/>
        <v>0</v>
      </c>
    </row>
    <row r="66" spans="1:16" x14ac:dyDescent="0.25">
      <c r="A66" s="15">
        <v>3</v>
      </c>
      <c r="B66" s="17" t="s">
        <v>355</v>
      </c>
      <c r="C66" s="12">
        <v>0</v>
      </c>
      <c r="D66" s="12">
        <v>0</v>
      </c>
      <c r="H66" s="12">
        <v>0</v>
      </c>
      <c r="K66" s="12">
        <v>0</v>
      </c>
      <c r="M66">
        <v>0</v>
      </c>
      <c r="P66">
        <f t="shared" si="1"/>
        <v>0</v>
      </c>
    </row>
    <row r="67" spans="1:16" x14ac:dyDescent="0.25">
      <c r="A67" s="15">
        <v>4</v>
      </c>
      <c r="B67" s="17" t="s">
        <v>356</v>
      </c>
      <c r="C67" s="12">
        <v>70</v>
      </c>
      <c r="D67" s="12">
        <v>8</v>
      </c>
      <c r="E67" s="12">
        <v>8</v>
      </c>
      <c r="G67">
        <v>35</v>
      </c>
      <c r="H67" s="12">
        <v>0</v>
      </c>
      <c r="I67" s="12">
        <v>80</v>
      </c>
      <c r="K67" s="12">
        <v>65</v>
      </c>
      <c r="L67" s="12">
        <v>10</v>
      </c>
      <c r="M67" s="12">
        <v>35</v>
      </c>
      <c r="P67">
        <f t="shared" si="1"/>
        <v>311</v>
      </c>
    </row>
    <row r="68" spans="1:16" x14ac:dyDescent="0.25">
      <c r="A68" s="15">
        <v>5</v>
      </c>
      <c r="B68" s="17" t="s">
        <v>357</v>
      </c>
      <c r="C68" s="12">
        <v>18</v>
      </c>
      <c r="D68" s="12">
        <v>23</v>
      </c>
      <c r="F68" s="12">
        <v>18</v>
      </c>
      <c r="G68">
        <v>15</v>
      </c>
      <c r="H68" s="12">
        <v>50</v>
      </c>
      <c r="I68" s="12">
        <v>35</v>
      </c>
      <c r="K68" s="12">
        <v>25</v>
      </c>
      <c r="N68">
        <v>11</v>
      </c>
      <c r="P68">
        <f t="shared" si="1"/>
        <v>195</v>
      </c>
    </row>
    <row r="69" spans="1:16" x14ac:dyDescent="0.25">
      <c r="A69" s="15">
        <v>6</v>
      </c>
      <c r="B69" s="17" t="s">
        <v>358</v>
      </c>
      <c r="C69" s="12">
        <v>50</v>
      </c>
      <c r="D69" s="12">
        <v>58</v>
      </c>
      <c r="E69" s="12">
        <v>15</v>
      </c>
      <c r="F69" s="12">
        <v>24</v>
      </c>
      <c r="G69">
        <v>25</v>
      </c>
      <c r="H69" s="12">
        <v>0</v>
      </c>
      <c r="I69" s="12">
        <v>64</v>
      </c>
      <c r="K69" s="12">
        <v>45</v>
      </c>
      <c r="L69" s="12">
        <v>13</v>
      </c>
      <c r="M69" s="12">
        <v>35</v>
      </c>
      <c r="N69">
        <v>23</v>
      </c>
      <c r="P69">
        <f t="shared" ref="P69:P99" si="7">SUM(C69:O69)</f>
        <v>352</v>
      </c>
    </row>
    <row r="70" spans="1:16" x14ac:dyDescent="0.25">
      <c r="A70" s="15">
        <v>7</v>
      </c>
      <c r="B70" s="17" t="s">
        <v>359</v>
      </c>
      <c r="C70" s="12">
        <v>62</v>
      </c>
      <c r="D70" s="12">
        <v>45</v>
      </c>
      <c r="E70" s="12">
        <v>19</v>
      </c>
      <c r="F70" s="12">
        <v>21</v>
      </c>
      <c r="H70" s="12">
        <v>0</v>
      </c>
      <c r="I70" s="12">
        <v>38</v>
      </c>
      <c r="K70" s="12">
        <v>0</v>
      </c>
      <c r="L70" s="12">
        <v>8</v>
      </c>
      <c r="M70" s="12">
        <v>51</v>
      </c>
      <c r="N70">
        <v>18</v>
      </c>
      <c r="O70">
        <v>4</v>
      </c>
      <c r="P70">
        <f t="shared" si="7"/>
        <v>266</v>
      </c>
    </row>
    <row r="71" spans="1:16" x14ac:dyDescent="0.25">
      <c r="A71" s="15">
        <v>8</v>
      </c>
      <c r="B71" s="17" t="s">
        <v>360</v>
      </c>
      <c r="C71" s="12">
        <v>0</v>
      </c>
      <c r="D71" s="12">
        <v>0</v>
      </c>
      <c r="H71" s="12">
        <v>0</v>
      </c>
      <c r="K71" s="12">
        <v>0</v>
      </c>
      <c r="M71">
        <v>0</v>
      </c>
      <c r="N71">
        <v>10</v>
      </c>
      <c r="P71">
        <f t="shared" si="7"/>
        <v>10</v>
      </c>
    </row>
    <row r="72" spans="1:16" x14ac:dyDescent="0.25">
      <c r="A72" s="15">
        <v>9</v>
      </c>
      <c r="B72" s="17" t="s">
        <v>361</v>
      </c>
      <c r="C72" s="12">
        <v>0</v>
      </c>
      <c r="D72" s="12">
        <v>0</v>
      </c>
      <c r="E72" s="12">
        <v>0</v>
      </c>
      <c r="H72" s="12">
        <v>0</v>
      </c>
      <c r="K72" s="12">
        <v>0</v>
      </c>
      <c r="N72">
        <v>12</v>
      </c>
      <c r="P72">
        <f t="shared" si="7"/>
        <v>12</v>
      </c>
    </row>
    <row r="73" spans="1:16" x14ac:dyDescent="0.25">
      <c r="A73" s="15">
        <v>10</v>
      </c>
      <c r="B73" s="17" t="s">
        <v>362</v>
      </c>
      <c r="C73" s="12">
        <v>0</v>
      </c>
      <c r="D73" s="12">
        <v>0</v>
      </c>
      <c r="H73" s="12">
        <v>0</v>
      </c>
      <c r="K73" s="12">
        <v>0</v>
      </c>
      <c r="N73">
        <v>15</v>
      </c>
      <c r="P73">
        <f t="shared" si="7"/>
        <v>15</v>
      </c>
    </row>
    <row r="74" spans="1:16" x14ac:dyDescent="0.25">
      <c r="A74" s="15">
        <v>11</v>
      </c>
      <c r="B74" s="17" t="s">
        <v>363</v>
      </c>
      <c r="H74" s="12">
        <v>0</v>
      </c>
      <c r="K74" s="12">
        <v>0</v>
      </c>
      <c r="P74">
        <f t="shared" si="7"/>
        <v>0</v>
      </c>
    </row>
    <row r="75" spans="1:16" x14ac:dyDescent="0.25">
      <c r="A75" s="15">
        <v>12</v>
      </c>
      <c r="B75" s="17" t="s">
        <v>364</v>
      </c>
      <c r="D75" s="12">
        <v>0</v>
      </c>
      <c r="H75" s="12">
        <v>0</v>
      </c>
      <c r="K75" s="12">
        <v>0</v>
      </c>
      <c r="P75">
        <f t="shared" si="7"/>
        <v>0</v>
      </c>
    </row>
    <row r="76" spans="1:16" x14ac:dyDescent="0.25">
      <c r="P76">
        <f t="shared" si="7"/>
        <v>0</v>
      </c>
    </row>
    <row r="77" spans="1:16" x14ac:dyDescent="0.25">
      <c r="A77" s="10" t="s">
        <v>365</v>
      </c>
      <c r="C77" s="12">
        <f>SUM(C78,C82)</f>
        <v>1</v>
      </c>
      <c r="E77" s="12">
        <f t="shared" ref="E77:O77" si="8">SUM(E78,E82)</f>
        <v>1</v>
      </c>
      <c r="F77">
        <f t="shared" si="8"/>
        <v>0</v>
      </c>
      <c r="G77">
        <f t="shared" si="8"/>
        <v>0</v>
      </c>
      <c r="H77" s="12">
        <f t="shared" si="8"/>
        <v>1</v>
      </c>
      <c r="I77">
        <v>0</v>
      </c>
      <c r="J77">
        <f t="shared" si="8"/>
        <v>0</v>
      </c>
      <c r="K77" s="12">
        <f t="shared" si="8"/>
        <v>0</v>
      </c>
      <c r="L77" s="12">
        <v>0</v>
      </c>
      <c r="M77">
        <v>0</v>
      </c>
      <c r="N77">
        <f t="shared" si="8"/>
        <v>0</v>
      </c>
      <c r="O77">
        <f t="shared" si="8"/>
        <v>0</v>
      </c>
      <c r="P77">
        <f t="shared" si="7"/>
        <v>3</v>
      </c>
    </row>
    <row r="78" spans="1:16" x14ac:dyDescent="0.25">
      <c r="A78" s="15">
        <v>1</v>
      </c>
      <c r="B78" s="17" t="s">
        <v>366</v>
      </c>
      <c r="C78" s="12">
        <f>SUM(C79:C81)</f>
        <v>1</v>
      </c>
      <c r="D78" s="12">
        <v>1</v>
      </c>
      <c r="E78" s="12">
        <v>1</v>
      </c>
      <c r="F78">
        <f t="shared" ref="F78:O78" si="9">SUM(F79:F81)</f>
        <v>0</v>
      </c>
      <c r="G78">
        <f t="shared" si="9"/>
        <v>0</v>
      </c>
      <c r="H78" s="12">
        <v>1</v>
      </c>
      <c r="I78">
        <v>0</v>
      </c>
      <c r="J78">
        <f t="shared" si="9"/>
        <v>0</v>
      </c>
      <c r="K78" s="12">
        <f t="shared" si="9"/>
        <v>0</v>
      </c>
      <c r="M78">
        <v>0</v>
      </c>
      <c r="N78">
        <f t="shared" si="9"/>
        <v>0</v>
      </c>
      <c r="O78">
        <f t="shared" si="9"/>
        <v>0</v>
      </c>
      <c r="P78">
        <f t="shared" si="7"/>
        <v>4</v>
      </c>
    </row>
    <row r="79" spans="1:16" x14ac:dyDescent="0.25">
      <c r="A79" s="15">
        <v>1.1000000000000001</v>
      </c>
      <c r="B79" s="17" t="s">
        <v>367</v>
      </c>
      <c r="C79" s="12">
        <v>1</v>
      </c>
      <c r="D79" s="12">
        <v>1</v>
      </c>
      <c r="E79" s="12">
        <v>1</v>
      </c>
      <c r="H79" s="12">
        <v>1</v>
      </c>
      <c r="I79">
        <v>0</v>
      </c>
      <c r="P79">
        <f t="shared" si="7"/>
        <v>4</v>
      </c>
    </row>
    <row r="80" spans="1:16" x14ac:dyDescent="0.25">
      <c r="A80" s="15">
        <v>1.2</v>
      </c>
      <c r="B80" s="17" t="s">
        <v>368</v>
      </c>
      <c r="D80" s="12">
        <v>0</v>
      </c>
      <c r="H80" s="12">
        <v>1</v>
      </c>
      <c r="I80">
        <v>0</v>
      </c>
      <c r="P80">
        <f t="shared" si="7"/>
        <v>1</v>
      </c>
    </row>
    <row r="81" spans="1:16" x14ac:dyDescent="0.25">
      <c r="A81" s="15">
        <v>1.3</v>
      </c>
      <c r="B81" s="17" t="s">
        <v>369</v>
      </c>
      <c r="H81" s="12">
        <v>1</v>
      </c>
      <c r="P81">
        <f t="shared" si="7"/>
        <v>1</v>
      </c>
    </row>
    <row r="82" spans="1:16" x14ac:dyDescent="0.25">
      <c r="A82" s="15">
        <v>2</v>
      </c>
      <c r="B82" s="17" t="s">
        <v>370</v>
      </c>
      <c r="P82">
        <f t="shared" si="7"/>
        <v>0</v>
      </c>
    </row>
    <row r="83" spans="1:16" x14ac:dyDescent="0.25">
      <c r="A83" s="15">
        <v>3</v>
      </c>
      <c r="B83" s="17" t="s">
        <v>371</v>
      </c>
      <c r="L83" s="12">
        <v>1</v>
      </c>
      <c r="P83">
        <f t="shared" si="7"/>
        <v>1</v>
      </c>
    </row>
    <row r="84" spans="1:16" ht="30" x14ac:dyDescent="0.25">
      <c r="A84" s="15">
        <v>4</v>
      </c>
      <c r="B84" s="17" t="s">
        <v>372</v>
      </c>
      <c r="P84">
        <f t="shared" si="7"/>
        <v>0</v>
      </c>
    </row>
    <row r="85" spans="1:16" x14ac:dyDescent="0.25">
      <c r="P85">
        <f t="shared" si="7"/>
        <v>0</v>
      </c>
    </row>
    <row r="86" spans="1:16" x14ac:dyDescent="0.25">
      <c r="A86" s="10" t="s">
        <v>373</v>
      </c>
      <c r="P86">
        <f t="shared" si="7"/>
        <v>0</v>
      </c>
    </row>
    <row r="87" spans="1:16" x14ac:dyDescent="0.25">
      <c r="A87" s="15">
        <v>1</v>
      </c>
      <c r="B87" s="17" t="s">
        <v>374</v>
      </c>
      <c r="C87" s="12">
        <v>0</v>
      </c>
      <c r="G87">
        <v>0</v>
      </c>
      <c r="H87" s="12">
        <v>0</v>
      </c>
      <c r="K87" s="12">
        <v>0</v>
      </c>
      <c r="P87">
        <f t="shared" si="7"/>
        <v>0</v>
      </c>
    </row>
    <row r="88" spans="1:16" x14ac:dyDescent="0.25">
      <c r="A88" s="16">
        <v>2</v>
      </c>
      <c r="B88" s="17" t="s">
        <v>375</v>
      </c>
      <c r="C88" s="12">
        <v>2</v>
      </c>
      <c r="D88" s="12">
        <v>0</v>
      </c>
      <c r="E88" s="12">
        <v>1</v>
      </c>
      <c r="G88">
        <v>0</v>
      </c>
      <c r="K88" s="12">
        <v>3</v>
      </c>
      <c r="L88" s="12">
        <v>1</v>
      </c>
      <c r="M88">
        <v>0</v>
      </c>
      <c r="P88">
        <f t="shared" si="7"/>
        <v>7</v>
      </c>
    </row>
    <row r="89" spans="1:16" x14ac:dyDescent="0.25">
      <c r="A89" s="15">
        <v>3</v>
      </c>
      <c r="B89" s="17" t="s">
        <v>376</v>
      </c>
      <c r="C89" s="12">
        <v>0</v>
      </c>
      <c r="G89">
        <v>1</v>
      </c>
      <c r="H89" s="12">
        <v>0</v>
      </c>
      <c r="L89" s="12">
        <v>0</v>
      </c>
      <c r="M89">
        <v>195</v>
      </c>
      <c r="P89">
        <f t="shared" si="7"/>
        <v>196</v>
      </c>
    </row>
    <row r="90" spans="1:16" x14ac:dyDescent="0.25">
      <c r="A90" s="15">
        <v>4</v>
      </c>
      <c r="B90" s="17" t="s">
        <v>377</v>
      </c>
      <c r="C90" s="12">
        <v>0</v>
      </c>
      <c r="D90" s="12">
        <v>7</v>
      </c>
      <c r="F90">
        <v>10</v>
      </c>
      <c r="G90">
        <v>13</v>
      </c>
      <c r="H90" s="12">
        <v>5</v>
      </c>
      <c r="I90" s="12">
        <v>12</v>
      </c>
      <c r="K90" s="12">
        <v>13</v>
      </c>
      <c r="L90" s="12">
        <v>0</v>
      </c>
      <c r="M90">
        <v>11</v>
      </c>
      <c r="N90">
        <v>1</v>
      </c>
      <c r="P90">
        <f t="shared" si="7"/>
        <v>72</v>
      </c>
    </row>
    <row r="91" spans="1:16" x14ac:dyDescent="0.25">
      <c r="A91" s="15">
        <v>5</v>
      </c>
      <c r="B91" s="17" t="s">
        <v>378</v>
      </c>
      <c r="C91" s="12">
        <v>0</v>
      </c>
      <c r="D91" s="12">
        <v>1</v>
      </c>
      <c r="F91" s="12">
        <v>5</v>
      </c>
      <c r="K91" s="12">
        <v>0</v>
      </c>
      <c r="N91">
        <v>1</v>
      </c>
      <c r="P91">
        <f t="shared" si="7"/>
        <v>7</v>
      </c>
    </row>
    <row r="92" spans="1:16" ht="30" x14ac:dyDescent="0.25">
      <c r="A92" s="15">
        <v>6</v>
      </c>
      <c r="B92" s="17" t="s">
        <v>379</v>
      </c>
      <c r="P92">
        <f t="shared" si="7"/>
        <v>0</v>
      </c>
    </row>
    <row r="93" spans="1:16" x14ac:dyDescent="0.25">
      <c r="A93" s="15">
        <v>7</v>
      </c>
      <c r="B93" s="17" t="s">
        <v>380</v>
      </c>
      <c r="D93" s="12">
        <v>1</v>
      </c>
      <c r="F93">
        <v>1</v>
      </c>
      <c r="G93">
        <v>0</v>
      </c>
      <c r="H93" s="12">
        <v>0</v>
      </c>
      <c r="K93" s="12">
        <v>2</v>
      </c>
      <c r="M93">
        <v>0</v>
      </c>
      <c r="P93">
        <f t="shared" si="7"/>
        <v>4</v>
      </c>
    </row>
    <row r="94" spans="1:16" x14ac:dyDescent="0.25">
      <c r="A94" s="16">
        <v>8</v>
      </c>
      <c r="B94" s="17" t="s">
        <v>381</v>
      </c>
      <c r="F94">
        <v>7</v>
      </c>
      <c r="K94" s="12">
        <v>0</v>
      </c>
      <c r="P94">
        <f t="shared" si="7"/>
        <v>7</v>
      </c>
    </row>
    <row r="95" spans="1:16" x14ac:dyDescent="0.25">
      <c r="A95" s="15">
        <v>9</v>
      </c>
      <c r="B95" s="17" t="s">
        <v>382</v>
      </c>
      <c r="K95" s="12">
        <v>3</v>
      </c>
      <c r="P95">
        <f t="shared" si="7"/>
        <v>3</v>
      </c>
    </row>
    <row r="96" spans="1:16" x14ac:dyDescent="0.25">
      <c r="A96" s="15">
        <v>10</v>
      </c>
      <c r="B96" s="17" t="s">
        <v>383</v>
      </c>
      <c r="D96" s="12">
        <v>0</v>
      </c>
      <c r="K96" s="12">
        <v>0</v>
      </c>
      <c r="N96">
        <v>1</v>
      </c>
      <c r="P96">
        <f t="shared" si="7"/>
        <v>1</v>
      </c>
    </row>
    <row r="97" spans="1:16" x14ac:dyDescent="0.25">
      <c r="A97" s="15">
        <v>11</v>
      </c>
      <c r="B97" s="17" t="s">
        <v>384</v>
      </c>
      <c r="D97" s="12">
        <v>0</v>
      </c>
      <c r="P97">
        <f t="shared" si="7"/>
        <v>0</v>
      </c>
    </row>
    <row r="98" spans="1:16" x14ac:dyDescent="0.25">
      <c r="A98" s="15">
        <v>12</v>
      </c>
      <c r="B98" s="17" t="s">
        <v>385</v>
      </c>
      <c r="D98" s="12">
        <v>0</v>
      </c>
      <c r="P98">
        <f t="shared" si="7"/>
        <v>0</v>
      </c>
    </row>
    <row r="99" spans="1:16" x14ac:dyDescent="0.25">
      <c r="A99" s="15">
        <v>13</v>
      </c>
      <c r="B99" s="17" t="s">
        <v>386</v>
      </c>
      <c r="I99" t="s">
        <v>439</v>
      </c>
      <c r="P99">
        <f t="shared" si="7"/>
        <v>0</v>
      </c>
    </row>
    <row r="100" spans="1:16" x14ac:dyDescent="0.25">
      <c r="A100" s="16">
        <v>14</v>
      </c>
      <c r="B100" s="17" t="s">
        <v>387</v>
      </c>
      <c r="E100" s="12">
        <v>1</v>
      </c>
      <c r="H100" s="12">
        <v>0</v>
      </c>
    </row>
    <row r="101" spans="1:16" x14ac:dyDescent="0.25">
      <c r="A101" s="15">
        <v>15</v>
      </c>
      <c r="B101" s="17" t="s">
        <v>388</v>
      </c>
    </row>
    <row r="112" spans="1:16" x14ac:dyDescent="0.25">
      <c r="A112" s="16"/>
      <c r="B112" s="17"/>
    </row>
    <row r="121" spans="1:2" x14ac:dyDescent="0.25">
      <c r="A121" s="16"/>
      <c r="B121" s="17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3"/>
  <sheetViews>
    <sheetView topLeftCell="A2" zoomScale="108" zoomScaleNormal="90" workbookViewId="0">
      <pane xSplit="2" ySplit="2" topLeftCell="C4" activePane="bottomRight" state="frozen"/>
      <selection activeCell="A2" sqref="A2"/>
      <selection pane="topRight" activeCell="B2" sqref="B2"/>
      <selection pane="bottomLeft" activeCell="A4" sqref="A4"/>
      <selection pane="bottomRight" activeCell="Q103" sqref="Q103"/>
    </sheetView>
  </sheetViews>
  <sheetFormatPr defaultRowHeight="15" x14ac:dyDescent="0.25"/>
  <cols>
    <col min="1" max="1" width="6.42578125" style="15" customWidth="1"/>
    <col min="2" max="2" width="50.140625" bestFit="1" customWidth="1"/>
    <col min="3" max="3" width="12.85546875" style="12" bestFit="1" customWidth="1"/>
    <col min="4" max="4" width="13" style="12" bestFit="1" customWidth="1"/>
    <col min="5" max="5" width="9.7109375" style="12" bestFit="1" customWidth="1"/>
    <col min="6" max="6" width="8.42578125" style="12" bestFit="1" customWidth="1"/>
    <col min="7" max="7" width="8.5703125" style="12" bestFit="1" customWidth="1"/>
    <col min="8" max="8" width="10.7109375" style="12" bestFit="1" customWidth="1"/>
    <col min="9" max="9" width="17.28515625" style="12" bestFit="1" customWidth="1"/>
    <col min="10" max="10" width="11.7109375" style="12" bestFit="1" customWidth="1"/>
    <col min="11" max="11" width="11.140625" style="12" bestFit="1" customWidth="1"/>
    <col min="12" max="12" width="11.28515625" style="12" bestFit="1" customWidth="1"/>
    <col min="13" max="13" width="12" style="12" bestFit="1" customWidth="1"/>
    <col min="18" max="18" width="9.5703125" bestFit="1" customWidth="1"/>
  </cols>
  <sheetData>
    <row r="1" spans="1:18" hidden="1" x14ac:dyDescent="0.25">
      <c r="A1" s="15" t="s">
        <v>41</v>
      </c>
    </row>
    <row r="2" spans="1:18" x14ac:dyDescent="0.25">
      <c r="C2" s="34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4" t="s">
        <v>67</v>
      </c>
      <c r="I2" s="34" t="s">
        <v>68</v>
      </c>
      <c r="J2" s="34" t="s">
        <v>69</v>
      </c>
      <c r="K2" s="34" t="s">
        <v>70</v>
      </c>
      <c r="L2" s="34" t="s">
        <v>71</v>
      </c>
      <c r="M2" s="34" t="s">
        <v>72</v>
      </c>
      <c r="N2" s="34" t="s">
        <v>437</v>
      </c>
      <c r="O2" s="34" t="s">
        <v>69</v>
      </c>
      <c r="P2" s="34" t="s">
        <v>438</v>
      </c>
      <c r="Q2" s="34" t="s">
        <v>156</v>
      </c>
      <c r="R2" s="1" t="s">
        <v>162</v>
      </c>
    </row>
    <row r="3" spans="1:18" x14ac:dyDescent="0.25">
      <c r="C3" s="34" t="s">
        <v>73</v>
      </c>
      <c r="D3" s="34" t="s">
        <v>74</v>
      </c>
      <c r="E3" s="34" t="s">
        <v>75</v>
      </c>
      <c r="F3" s="34" t="s">
        <v>76</v>
      </c>
      <c r="G3" s="34" t="s">
        <v>61</v>
      </c>
      <c r="H3" s="34" t="s">
        <v>77</v>
      </c>
      <c r="I3" s="34" t="s">
        <v>78</v>
      </c>
      <c r="J3" s="34" t="s">
        <v>79</v>
      </c>
      <c r="K3" s="34" t="s">
        <v>80</v>
      </c>
      <c r="L3" s="34" t="s">
        <v>81</v>
      </c>
      <c r="M3" s="34" t="s">
        <v>82</v>
      </c>
      <c r="N3" s="34" t="s">
        <v>60</v>
      </c>
      <c r="O3" s="34" t="s">
        <v>79</v>
      </c>
      <c r="P3" s="34" t="s">
        <v>177</v>
      </c>
      <c r="Q3" s="34" t="s">
        <v>176</v>
      </c>
    </row>
    <row r="4" spans="1:18" x14ac:dyDescent="0.25">
      <c r="A4" s="10" t="s">
        <v>0</v>
      </c>
      <c r="C4" s="12">
        <v>5</v>
      </c>
      <c r="D4" s="12">
        <v>2</v>
      </c>
      <c r="E4" s="12">
        <v>9</v>
      </c>
      <c r="F4" s="12">
        <v>9</v>
      </c>
      <c r="G4" s="12">
        <v>4</v>
      </c>
      <c r="H4" s="12">
        <v>9</v>
      </c>
      <c r="I4" s="12">
        <v>0</v>
      </c>
      <c r="J4" s="12">
        <v>0</v>
      </c>
      <c r="K4" s="12">
        <v>4</v>
      </c>
      <c r="L4" s="12">
        <v>4</v>
      </c>
      <c r="M4" s="12">
        <v>4</v>
      </c>
      <c r="R4">
        <f t="shared" ref="R4:R67" si="0">SUM(C4:Q4)</f>
        <v>50</v>
      </c>
    </row>
    <row r="5" spans="1:18" x14ac:dyDescent="0.25">
      <c r="A5" s="15" t="s">
        <v>1</v>
      </c>
      <c r="R5">
        <f t="shared" si="0"/>
        <v>0</v>
      </c>
    </row>
    <row r="6" spans="1:18" x14ac:dyDescent="0.25">
      <c r="A6" s="15" t="s">
        <v>2</v>
      </c>
      <c r="H6" s="12">
        <v>9</v>
      </c>
      <c r="K6" s="12">
        <v>3</v>
      </c>
      <c r="R6">
        <f t="shared" si="0"/>
        <v>12</v>
      </c>
    </row>
    <row r="7" spans="1:18" x14ac:dyDescent="0.25">
      <c r="A7" s="15" t="s">
        <v>3</v>
      </c>
      <c r="H7" s="12">
        <v>1</v>
      </c>
      <c r="R7">
        <f t="shared" si="0"/>
        <v>1</v>
      </c>
    </row>
    <row r="8" spans="1:18" x14ac:dyDescent="0.25">
      <c r="A8" s="15" t="s">
        <v>4</v>
      </c>
      <c r="H8" s="12">
        <v>1</v>
      </c>
      <c r="R8">
        <f t="shared" si="0"/>
        <v>1</v>
      </c>
    </row>
    <row r="9" spans="1:18" x14ac:dyDescent="0.25">
      <c r="A9" s="15" t="s">
        <v>5</v>
      </c>
      <c r="F9" s="12">
        <v>0</v>
      </c>
      <c r="R9">
        <f t="shared" si="0"/>
        <v>0</v>
      </c>
    </row>
    <row r="10" spans="1:18" x14ac:dyDescent="0.25">
      <c r="A10" s="10" t="s">
        <v>309</v>
      </c>
      <c r="B10" s="2"/>
      <c r="C10" s="12">
        <f>C17-C22</f>
        <v>478</v>
      </c>
      <c r="D10" s="12">
        <f t="shared" ref="D10:P10" si="1">D17-D22</f>
        <v>229</v>
      </c>
      <c r="E10" s="12">
        <f t="shared" si="1"/>
        <v>426</v>
      </c>
      <c r="F10" s="12">
        <f t="shared" si="1"/>
        <v>425</v>
      </c>
      <c r="G10" s="12">
        <f t="shared" si="1"/>
        <v>399</v>
      </c>
      <c r="H10" s="12">
        <f t="shared" si="1"/>
        <v>598</v>
      </c>
      <c r="I10">
        <f t="shared" si="1"/>
        <v>0</v>
      </c>
      <c r="J10">
        <f t="shared" si="1"/>
        <v>0</v>
      </c>
      <c r="K10" s="12">
        <f t="shared" si="1"/>
        <v>134</v>
      </c>
      <c r="L10" s="12">
        <f t="shared" si="1"/>
        <v>300</v>
      </c>
      <c r="M10" s="12">
        <f t="shared" si="1"/>
        <v>142</v>
      </c>
      <c r="N10" s="12">
        <f t="shared" si="1"/>
        <v>0</v>
      </c>
      <c r="O10" s="12">
        <f t="shared" si="1"/>
        <v>-1</v>
      </c>
      <c r="P10" s="12">
        <f t="shared" si="1"/>
        <v>106</v>
      </c>
      <c r="R10">
        <f t="shared" si="0"/>
        <v>3236</v>
      </c>
    </row>
    <row r="11" spans="1:18" x14ac:dyDescent="0.25">
      <c r="A11" s="15" t="s">
        <v>310</v>
      </c>
      <c r="C11" s="12">
        <v>182</v>
      </c>
      <c r="D11" s="12">
        <v>83</v>
      </c>
      <c r="E11" s="12">
        <v>163</v>
      </c>
      <c r="F11" s="12">
        <v>303</v>
      </c>
      <c r="G11" s="12">
        <v>158</v>
      </c>
      <c r="L11" s="12">
        <v>118</v>
      </c>
      <c r="M11" s="12">
        <v>100</v>
      </c>
      <c r="P11">
        <v>108</v>
      </c>
      <c r="Q11">
        <v>142</v>
      </c>
      <c r="R11">
        <f t="shared" si="0"/>
        <v>1357</v>
      </c>
    </row>
    <row r="12" spans="1:18" x14ac:dyDescent="0.25">
      <c r="A12" s="15" t="s">
        <v>311</v>
      </c>
      <c r="C12" s="12">
        <v>58</v>
      </c>
      <c r="D12" s="12">
        <v>31</v>
      </c>
      <c r="E12" s="12">
        <v>44</v>
      </c>
      <c r="F12" s="12">
        <v>122</v>
      </c>
      <c r="G12" s="12">
        <v>43</v>
      </c>
      <c r="L12" s="12">
        <v>33</v>
      </c>
      <c r="M12" s="12">
        <v>21</v>
      </c>
      <c r="R12">
        <f t="shared" si="0"/>
        <v>352</v>
      </c>
    </row>
    <row r="13" spans="1:18" x14ac:dyDescent="0.25">
      <c r="A13" s="15">
        <v>1</v>
      </c>
      <c r="B13" t="s">
        <v>312</v>
      </c>
      <c r="C13" s="12">
        <v>239</v>
      </c>
      <c r="D13" s="12">
        <v>115</v>
      </c>
      <c r="E13" s="12">
        <v>221</v>
      </c>
      <c r="F13" s="12">
        <v>0</v>
      </c>
      <c r="G13" s="12">
        <v>198</v>
      </c>
      <c r="H13" s="12">
        <v>599</v>
      </c>
      <c r="K13" s="12">
        <v>133</v>
      </c>
      <c r="L13" s="12">
        <v>151</v>
      </c>
      <c r="M13" s="12">
        <v>21</v>
      </c>
      <c r="R13">
        <f t="shared" si="0"/>
        <v>1677</v>
      </c>
    </row>
    <row r="14" spans="1:18" x14ac:dyDescent="0.25">
      <c r="A14" s="15">
        <v>2</v>
      </c>
      <c r="B14" t="s">
        <v>313</v>
      </c>
      <c r="G14" s="12">
        <v>0</v>
      </c>
      <c r="H14" s="12">
        <v>0</v>
      </c>
      <c r="I14" s="12">
        <v>0</v>
      </c>
      <c r="K14" s="12">
        <v>1</v>
      </c>
      <c r="R14">
        <f t="shared" si="0"/>
        <v>1</v>
      </c>
    </row>
    <row r="15" spans="1:18" x14ac:dyDescent="0.25">
      <c r="A15" s="15">
        <v>3</v>
      </c>
      <c r="B15" t="s">
        <v>314</v>
      </c>
      <c r="L15" s="12">
        <v>0</v>
      </c>
      <c r="Q15">
        <v>1</v>
      </c>
      <c r="R15">
        <f t="shared" si="0"/>
        <v>1</v>
      </c>
    </row>
    <row r="16" spans="1:18" x14ac:dyDescent="0.25">
      <c r="A16" s="15">
        <v>4</v>
      </c>
      <c r="B16" t="s">
        <v>315</v>
      </c>
      <c r="R16">
        <f t="shared" si="0"/>
        <v>0</v>
      </c>
    </row>
    <row r="17" spans="1:18" x14ac:dyDescent="0.25">
      <c r="A17" s="10" t="s">
        <v>428</v>
      </c>
      <c r="C17" s="12">
        <f>SUM(C11:C16)</f>
        <v>479</v>
      </c>
      <c r="D17" s="12">
        <f t="shared" ref="D17:P17" si="2">SUM(D11:D16)</f>
        <v>229</v>
      </c>
      <c r="E17" s="12">
        <f t="shared" si="2"/>
        <v>428</v>
      </c>
      <c r="F17" s="12">
        <f t="shared" si="2"/>
        <v>425</v>
      </c>
      <c r="G17" s="12">
        <f t="shared" si="2"/>
        <v>399</v>
      </c>
      <c r="H17" s="12">
        <f t="shared" si="2"/>
        <v>599</v>
      </c>
      <c r="I17">
        <f t="shared" si="2"/>
        <v>0</v>
      </c>
      <c r="J17">
        <f t="shared" si="2"/>
        <v>0</v>
      </c>
      <c r="K17" s="12">
        <f t="shared" si="2"/>
        <v>134</v>
      </c>
      <c r="L17" s="12">
        <f t="shared" si="2"/>
        <v>302</v>
      </c>
      <c r="M17" s="12">
        <f t="shared" si="2"/>
        <v>142</v>
      </c>
      <c r="N17" s="12">
        <f t="shared" si="2"/>
        <v>0</v>
      </c>
      <c r="O17" s="12">
        <f t="shared" si="2"/>
        <v>0</v>
      </c>
      <c r="P17" s="12">
        <f t="shared" si="2"/>
        <v>108</v>
      </c>
      <c r="R17">
        <f t="shared" si="0"/>
        <v>3245</v>
      </c>
    </row>
    <row r="18" spans="1:18" x14ac:dyDescent="0.25">
      <c r="A18" s="16"/>
      <c r="B18" s="17"/>
      <c r="R18">
        <f t="shared" si="0"/>
        <v>0</v>
      </c>
    </row>
    <row r="19" spans="1:18" x14ac:dyDescent="0.25">
      <c r="A19" s="15">
        <v>5</v>
      </c>
      <c r="B19" t="s">
        <v>316</v>
      </c>
      <c r="G19" s="12">
        <v>0</v>
      </c>
      <c r="R19">
        <f t="shared" si="0"/>
        <v>0</v>
      </c>
    </row>
    <row r="20" spans="1:18" x14ac:dyDescent="0.25">
      <c r="A20" s="15">
        <v>6</v>
      </c>
      <c r="B20" t="s">
        <v>317</v>
      </c>
      <c r="G20" s="12">
        <v>0</v>
      </c>
      <c r="R20">
        <f t="shared" si="0"/>
        <v>0</v>
      </c>
    </row>
    <row r="21" spans="1:18" x14ac:dyDescent="0.25">
      <c r="A21" s="15">
        <v>7</v>
      </c>
      <c r="B21" t="s">
        <v>318</v>
      </c>
      <c r="C21" s="12">
        <v>1</v>
      </c>
      <c r="D21" s="12">
        <v>0</v>
      </c>
      <c r="E21" s="12">
        <v>2</v>
      </c>
      <c r="G21" s="12">
        <v>0</v>
      </c>
      <c r="H21" s="12">
        <v>1</v>
      </c>
      <c r="J21" s="12">
        <v>0</v>
      </c>
      <c r="L21" s="12">
        <v>2</v>
      </c>
      <c r="O21">
        <v>1</v>
      </c>
      <c r="P21">
        <v>2</v>
      </c>
      <c r="Q21">
        <v>1</v>
      </c>
      <c r="R21">
        <f t="shared" si="0"/>
        <v>10</v>
      </c>
    </row>
    <row r="22" spans="1:18" x14ac:dyDescent="0.25">
      <c r="A22" s="10" t="s">
        <v>429</v>
      </c>
      <c r="C22" s="12">
        <f>SUM(C19:C21)</f>
        <v>1</v>
      </c>
      <c r="D22" s="12">
        <f t="shared" ref="D22:P22" si="3">SUM(D19:D21)</f>
        <v>0</v>
      </c>
      <c r="E22" s="12">
        <f t="shared" si="3"/>
        <v>2</v>
      </c>
      <c r="F22" s="12">
        <f t="shared" si="3"/>
        <v>0</v>
      </c>
      <c r="G22" s="12">
        <f t="shared" si="3"/>
        <v>0</v>
      </c>
      <c r="H22" s="12">
        <f t="shared" si="3"/>
        <v>1</v>
      </c>
      <c r="I22" s="12">
        <f t="shared" si="3"/>
        <v>0</v>
      </c>
      <c r="J22" s="12">
        <f t="shared" si="3"/>
        <v>0</v>
      </c>
      <c r="K22" s="12">
        <f t="shared" si="3"/>
        <v>0</v>
      </c>
      <c r="L22" s="12">
        <f t="shared" si="3"/>
        <v>2</v>
      </c>
      <c r="M22" s="12">
        <f t="shared" si="3"/>
        <v>0</v>
      </c>
      <c r="N22" s="12">
        <f t="shared" si="3"/>
        <v>0</v>
      </c>
      <c r="O22" s="12">
        <f t="shared" si="3"/>
        <v>1</v>
      </c>
      <c r="P22" s="12">
        <f t="shared" si="3"/>
        <v>2</v>
      </c>
      <c r="R22">
        <f t="shared" si="0"/>
        <v>9</v>
      </c>
    </row>
    <row r="23" spans="1:18" x14ac:dyDescent="0.25">
      <c r="R23">
        <f t="shared" si="0"/>
        <v>0</v>
      </c>
    </row>
    <row r="24" spans="1:18" x14ac:dyDescent="0.25">
      <c r="A24" s="16">
        <v>8</v>
      </c>
      <c r="B24" s="17" t="s">
        <v>319</v>
      </c>
      <c r="C24" s="12">
        <v>0</v>
      </c>
      <c r="F24" s="12">
        <v>1</v>
      </c>
      <c r="H24" s="12">
        <v>0</v>
      </c>
      <c r="K24" s="12">
        <v>1</v>
      </c>
      <c r="R24">
        <f t="shared" si="0"/>
        <v>2</v>
      </c>
    </row>
    <row r="25" spans="1:18" x14ac:dyDescent="0.25">
      <c r="A25" s="16">
        <v>9</v>
      </c>
      <c r="B25" s="17" t="s">
        <v>320</v>
      </c>
      <c r="Q25">
        <v>4</v>
      </c>
      <c r="R25">
        <f t="shared" si="0"/>
        <v>4</v>
      </c>
    </row>
    <row r="26" spans="1:18" x14ac:dyDescent="0.25">
      <c r="A26" s="15">
        <v>10</v>
      </c>
      <c r="B26" t="s">
        <v>321</v>
      </c>
      <c r="C26" s="12">
        <v>68</v>
      </c>
      <c r="D26" s="12">
        <v>40</v>
      </c>
      <c r="F26" s="12">
        <v>166</v>
      </c>
      <c r="G26" s="12">
        <v>48</v>
      </c>
      <c r="H26" s="12">
        <v>143</v>
      </c>
      <c r="K26" s="12">
        <v>67</v>
      </c>
      <c r="M26" s="12">
        <v>38</v>
      </c>
      <c r="P26">
        <v>47</v>
      </c>
      <c r="R26">
        <f t="shared" si="0"/>
        <v>617</v>
      </c>
    </row>
    <row r="27" spans="1:18" x14ac:dyDescent="0.25">
      <c r="A27" s="16">
        <v>11</v>
      </c>
      <c r="B27" s="17" t="s">
        <v>322</v>
      </c>
      <c r="C27" s="12">
        <v>35</v>
      </c>
      <c r="D27" s="12">
        <v>13</v>
      </c>
      <c r="F27" s="12">
        <v>65</v>
      </c>
      <c r="G27" s="12">
        <v>35</v>
      </c>
      <c r="H27" s="12">
        <v>32</v>
      </c>
      <c r="K27" s="12">
        <v>6</v>
      </c>
      <c r="M27" s="12">
        <v>17</v>
      </c>
      <c r="P27">
        <v>5</v>
      </c>
      <c r="Q27">
        <v>17</v>
      </c>
      <c r="R27">
        <f t="shared" si="0"/>
        <v>225</v>
      </c>
    </row>
    <row r="28" spans="1:18" x14ac:dyDescent="0.25">
      <c r="A28" s="16">
        <v>12</v>
      </c>
      <c r="B28" s="17" t="s">
        <v>323</v>
      </c>
      <c r="F28" s="12">
        <v>5</v>
      </c>
      <c r="G28" s="12">
        <v>0</v>
      </c>
      <c r="H28" s="12">
        <v>1</v>
      </c>
      <c r="M28" s="12">
        <v>2</v>
      </c>
      <c r="R28">
        <f t="shared" si="0"/>
        <v>8</v>
      </c>
    </row>
    <row r="29" spans="1:18" ht="30" x14ac:dyDescent="0.25">
      <c r="A29" s="16">
        <v>13</v>
      </c>
      <c r="B29" s="17" t="s">
        <v>324</v>
      </c>
      <c r="R29">
        <f t="shared" si="0"/>
        <v>0</v>
      </c>
    </row>
    <row r="30" spans="1:18" x14ac:dyDescent="0.25">
      <c r="R30">
        <f t="shared" si="0"/>
        <v>0</v>
      </c>
    </row>
    <row r="31" spans="1:18" ht="45" x14ac:dyDescent="0.25">
      <c r="B31" s="11" t="s">
        <v>325</v>
      </c>
      <c r="R31">
        <f t="shared" si="0"/>
        <v>0</v>
      </c>
    </row>
    <row r="32" spans="1:18" x14ac:dyDescent="0.25">
      <c r="A32" s="15">
        <v>1</v>
      </c>
      <c r="B32" s="17" t="s">
        <v>326</v>
      </c>
      <c r="D32" s="12">
        <v>0</v>
      </c>
      <c r="F32" s="12">
        <v>4335</v>
      </c>
      <c r="G32" s="12">
        <v>0</v>
      </c>
      <c r="H32" s="12">
        <v>8737</v>
      </c>
      <c r="I32" s="12">
        <v>0</v>
      </c>
      <c r="J32" s="12">
        <v>0</v>
      </c>
      <c r="K32" s="12">
        <v>1</v>
      </c>
      <c r="L32" s="12">
        <v>200</v>
      </c>
      <c r="N32" s="12">
        <v>46</v>
      </c>
      <c r="Q32">
        <v>168</v>
      </c>
      <c r="R32">
        <f t="shared" si="0"/>
        <v>13487</v>
      </c>
    </row>
    <row r="33" spans="1:18" x14ac:dyDescent="0.25">
      <c r="A33" s="15">
        <v>2</v>
      </c>
      <c r="B33" s="17" t="s">
        <v>327</v>
      </c>
      <c r="F33" s="12">
        <v>1587</v>
      </c>
      <c r="G33" s="12">
        <v>0</v>
      </c>
      <c r="H33" s="12">
        <v>4697</v>
      </c>
      <c r="I33" s="12">
        <v>0</v>
      </c>
      <c r="N33">
        <v>36</v>
      </c>
      <c r="Q33">
        <v>48</v>
      </c>
      <c r="R33">
        <f t="shared" si="0"/>
        <v>6368</v>
      </c>
    </row>
    <row r="34" spans="1:18" x14ac:dyDescent="0.25">
      <c r="A34" s="15">
        <v>3</v>
      </c>
      <c r="B34" s="17" t="s">
        <v>328</v>
      </c>
      <c r="F34" s="12">
        <v>5</v>
      </c>
      <c r="G34" s="12">
        <v>0</v>
      </c>
      <c r="H34" s="12">
        <v>16</v>
      </c>
      <c r="I34" s="12">
        <v>0</v>
      </c>
      <c r="R34">
        <f t="shared" si="0"/>
        <v>21</v>
      </c>
    </row>
    <row r="35" spans="1:18" x14ac:dyDescent="0.25">
      <c r="A35" s="16">
        <v>4</v>
      </c>
      <c r="B35" s="17" t="s">
        <v>329</v>
      </c>
      <c r="F35" s="12">
        <v>323</v>
      </c>
      <c r="G35" s="12">
        <v>0</v>
      </c>
      <c r="H35" s="12">
        <v>668</v>
      </c>
      <c r="I35" s="12">
        <v>0</v>
      </c>
      <c r="J35" s="12">
        <v>0</v>
      </c>
      <c r="L35" s="12">
        <v>47</v>
      </c>
      <c r="Q35">
        <v>22</v>
      </c>
      <c r="R35">
        <f t="shared" si="0"/>
        <v>1060</v>
      </c>
    </row>
    <row r="36" spans="1:18" x14ac:dyDescent="0.25">
      <c r="A36" s="16">
        <v>5</v>
      </c>
      <c r="B36" s="17" t="s">
        <v>330</v>
      </c>
      <c r="E36" s="12">
        <v>2</v>
      </c>
      <c r="F36" s="12">
        <v>531</v>
      </c>
      <c r="G36" s="12">
        <v>0</v>
      </c>
      <c r="I36" s="12">
        <v>0</v>
      </c>
      <c r="J36" s="12">
        <v>0</v>
      </c>
      <c r="L36" s="12">
        <v>42</v>
      </c>
      <c r="Q36">
        <v>29</v>
      </c>
      <c r="R36">
        <f t="shared" si="0"/>
        <v>604</v>
      </c>
    </row>
    <row r="37" spans="1:18" x14ac:dyDescent="0.25">
      <c r="A37" s="15">
        <v>6</v>
      </c>
      <c r="B37" s="17" t="s">
        <v>331</v>
      </c>
      <c r="R37">
        <f t="shared" si="0"/>
        <v>0</v>
      </c>
    </row>
    <row r="38" spans="1:18" x14ac:dyDescent="0.25">
      <c r="R38">
        <f t="shared" si="0"/>
        <v>0</v>
      </c>
    </row>
    <row r="39" spans="1:18" x14ac:dyDescent="0.25">
      <c r="A39" s="15" t="s">
        <v>430</v>
      </c>
      <c r="C39" s="12">
        <f>SUM(C40:C49)</f>
        <v>19</v>
      </c>
      <c r="D39" s="12">
        <f t="shared" ref="D39:L39" si="4">SUM(D40:D49)</f>
        <v>15</v>
      </c>
      <c r="E39" s="12">
        <f t="shared" si="4"/>
        <v>23</v>
      </c>
      <c r="F39" s="12">
        <f t="shared" si="4"/>
        <v>18</v>
      </c>
      <c r="G39" s="12">
        <v>0</v>
      </c>
      <c r="H39" s="12">
        <f t="shared" si="4"/>
        <v>46</v>
      </c>
      <c r="I39" s="12">
        <f t="shared" si="4"/>
        <v>26</v>
      </c>
      <c r="J39" s="12">
        <f t="shared" si="4"/>
        <v>18</v>
      </c>
      <c r="K39" s="12">
        <f t="shared" si="4"/>
        <v>16</v>
      </c>
      <c r="L39" s="12">
        <f t="shared" si="4"/>
        <v>21</v>
      </c>
      <c r="M39" s="12">
        <f>SUM(M40:M49)</f>
        <v>15</v>
      </c>
      <c r="N39" s="12">
        <f t="shared" ref="N39:P39" si="5">SUM(N40:N49)</f>
        <v>15</v>
      </c>
      <c r="O39" s="12">
        <f t="shared" si="5"/>
        <v>19</v>
      </c>
      <c r="P39" s="12">
        <f t="shared" si="5"/>
        <v>18</v>
      </c>
      <c r="R39">
        <f t="shared" si="0"/>
        <v>269</v>
      </c>
    </row>
    <row r="40" spans="1:18" x14ac:dyDescent="0.25">
      <c r="A40" s="15">
        <v>1</v>
      </c>
      <c r="B40" s="17" t="s">
        <v>332</v>
      </c>
      <c r="C40" s="12">
        <v>13</v>
      </c>
      <c r="D40" s="12">
        <v>11</v>
      </c>
      <c r="E40" s="12">
        <v>13</v>
      </c>
      <c r="F40" s="12">
        <v>13</v>
      </c>
      <c r="G40" s="12">
        <v>12</v>
      </c>
      <c r="H40" s="12">
        <v>14</v>
      </c>
      <c r="I40" s="12">
        <v>13</v>
      </c>
      <c r="J40" s="12">
        <v>12</v>
      </c>
      <c r="K40" s="12">
        <v>14</v>
      </c>
      <c r="L40" s="12">
        <v>13</v>
      </c>
      <c r="M40" s="12">
        <v>13</v>
      </c>
      <c r="N40" s="12">
        <v>11</v>
      </c>
      <c r="O40" s="12">
        <v>13</v>
      </c>
      <c r="P40" s="12">
        <v>13</v>
      </c>
      <c r="Q40" s="12">
        <v>13</v>
      </c>
      <c r="R40">
        <f t="shared" si="0"/>
        <v>191</v>
      </c>
    </row>
    <row r="41" spans="1:18" x14ac:dyDescent="0.25">
      <c r="A41" s="15">
        <v>2</v>
      </c>
      <c r="B41" s="17" t="s">
        <v>333</v>
      </c>
      <c r="C41" s="12">
        <v>2</v>
      </c>
      <c r="D41" s="12">
        <v>1</v>
      </c>
      <c r="E41" s="12">
        <v>3</v>
      </c>
      <c r="F41" s="12">
        <v>2</v>
      </c>
      <c r="G41" s="12">
        <v>1</v>
      </c>
      <c r="H41" s="12">
        <v>12</v>
      </c>
      <c r="I41" s="12">
        <v>1</v>
      </c>
      <c r="J41" s="12">
        <v>1</v>
      </c>
      <c r="K41" s="12">
        <v>1</v>
      </c>
      <c r="L41" s="12">
        <v>4</v>
      </c>
      <c r="M41" s="12">
        <v>2</v>
      </c>
      <c r="N41" s="12">
        <v>1</v>
      </c>
      <c r="O41" s="12">
        <v>1</v>
      </c>
      <c r="P41" s="12">
        <v>2</v>
      </c>
      <c r="Q41" s="12">
        <v>2</v>
      </c>
      <c r="R41">
        <f t="shared" si="0"/>
        <v>36</v>
      </c>
    </row>
    <row r="42" spans="1:18" x14ac:dyDescent="0.25">
      <c r="A42" s="15">
        <v>3</v>
      </c>
      <c r="B42" s="17" t="s">
        <v>334</v>
      </c>
      <c r="D42" s="12">
        <v>1</v>
      </c>
      <c r="F42" s="12">
        <v>1</v>
      </c>
      <c r="G42" s="12">
        <v>1</v>
      </c>
      <c r="H42" s="12">
        <v>1</v>
      </c>
      <c r="N42">
        <v>3</v>
      </c>
      <c r="R42">
        <f t="shared" si="0"/>
        <v>7</v>
      </c>
    </row>
    <row r="43" spans="1:18" x14ac:dyDescent="0.25">
      <c r="A43" s="15">
        <v>4</v>
      </c>
      <c r="B43" s="17" t="s">
        <v>335</v>
      </c>
      <c r="E43" s="12">
        <v>4</v>
      </c>
      <c r="H43" s="12">
        <v>7</v>
      </c>
      <c r="I43" s="12">
        <v>8</v>
      </c>
      <c r="L43" s="12">
        <v>1</v>
      </c>
      <c r="R43">
        <f t="shared" si="0"/>
        <v>20</v>
      </c>
    </row>
    <row r="44" spans="1:18" x14ac:dyDescent="0.25">
      <c r="A44" s="15">
        <v>5</v>
      </c>
      <c r="B44" s="17" t="s">
        <v>336</v>
      </c>
      <c r="H44" s="12">
        <v>0</v>
      </c>
      <c r="R44">
        <f t="shared" si="0"/>
        <v>0</v>
      </c>
    </row>
    <row r="45" spans="1:18" x14ac:dyDescent="0.25">
      <c r="A45" s="15">
        <v>6</v>
      </c>
      <c r="B45" s="17" t="s">
        <v>337</v>
      </c>
      <c r="F45" s="12">
        <v>1</v>
      </c>
      <c r="G45" s="12">
        <v>0</v>
      </c>
      <c r="H45" s="12">
        <v>0</v>
      </c>
      <c r="J45" s="12">
        <v>0</v>
      </c>
      <c r="K45" s="12">
        <v>1</v>
      </c>
      <c r="R45">
        <f t="shared" si="0"/>
        <v>2</v>
      </c>
    </row>
    <row r="46" spans="1:18" x14ac:dyDescent="0.25">
      <c r="A46" s="15">
        <v>7</v>
      </c>
      <c r="B46" s="17" t="s">
        <v>338</v>
      </c>
      <c r="C46" s="12">
        <v>1</v>
      </c>
      <c r="D46" s="12">
        <v>1</v>
      </c>
      <c r="E46" s="12">
        <v>2</v>
      </c>
      <c r="G46" s="12">
        <v>0</v>
      </c>
      <c r="H46" s="12">
        <v>1</v>
      </c>
      <c r="J46" s="12">
        <v>0</v>
      </c>
      <c r="L46" s="12">
        <v>2</v>
      </c>
      <c r="O46">
        <v>1</v>
      </c>
      <c r="R46">
        <f t="shared" si="0"/>
        <v>8</v>
      </c>
    </row>
    <row r="47" spans="1:18" x14ac:dyDescent="0.25">
      <c r="A47" s="15">
        <v>8</v>
      </c>
      <c r="B47" s="17" t="s">
        <v>339</v>
      </c>
      <c r="C47" s="12">
        <v>1</v>
      </c>
      <c r="D47" s="12">
        <v>1</v>
      </c>
      <c r="E47" s="12">
        <v>0</v>
      </c>
      <c r="F47" s="12">
        <v>1</v>
      </c>
      <c r="G47" s="12">
        <v>0</v>
      </c>
      <c r="H47" s="12">
        <v>8</v>
      </c>
      <c r="I47" s="12">
        <v>1</v>
      </c>
      <c r="J47" s="12">
        <v>1</v>
      </c>
      <c r="L47" s="12">
        <v>1</v>
      </c>
      <c r="O47">
        <v>1</v>
      </c>
      <c r="P47">
        <v>2</v>
      </c>
      <c r="R47">
        <f t="shared" si="0"/>
        <v>17</v>
      </c>
    </row>
    <row r="48" spans="1:18" x14ac:dyDescent="0.25">
      <c r="A48" s="15">
        <v>9</v>
      </c>
      <c r="B48" s="17" t="s">
        <v>340</v>
      </c>
      <c r="C48" s="12">
        <v>0</v>
      </c>
      <c r="E48" s="12">
        <v>1</v>
      </c>
      <c r="H48" s="12">
        <v>3</v>
      </c>
      <c r="I48" s="12">
        <v>3</v>
      </c>
      <c r="J48" s="12">
        <v>4</v>
      </c>
      <c r="O48">
        <v>3</v>
      </c>
      <c r="P48">
        <v>1</v>
      </c>
      <c r="R48">
        <f t="shared" si="0"/>
        <v>15</v>
      </c>
    </row>
    <row r="49" spans="1:18" x14ac:dyDescent="0.25">
      <c r="A49" s="15">
        <v>10</v>
      </c>
      <c r="B49" s="17" t="s">
        <v>341</v>
      </c>
      <c r="C49" s="12">
        <v>2</v>
      </c>
      <c r="D49" s="12">
        <v>0</v>
      </c>
      <c r="G49" s="12">
        <v>0</v>
      </c>
      <c r="H49" s="12">
        <v>0</v>
      </c>
      <c r="R49">
        <f t="shared" si="0"/>
        <v>2</v>
      </c>
    </row>
    <row r="50" spans="1:18" x14ac:dyDescent="0.25">
      <c r="R50">
        <f t="shared" si="0"/>
        <v>0</v>
      </c>
    </row>
    <row r="51" spans="1:18" x14ac:dyDescent="0.25">
      <c r="A51" s="15" t="s">
        <v>431</v>
      </c>
      <c r="C51" s="12">
        <f>SUM(C52:C63)</f>
        <v>153</v>
      </c>
      <c r="D51" s="12">
        <f t="shared" ref="D51:P51" si="6">SUM(D52:D63)</f>
        <v>93</v>
      </c>
      <c r="E51" s="12">
        <f t="shared" si="6"/>
        <v>16</v>
      </c>
      <c r="F51" s="12">
        <v>0</v>
      </c>
      <c r="G51" s="12">
        <f t="shared" si="6"/>
        <v>45</v>
      </c>
      <c r="H51" s="12">
        <f t="shared" si="6"/>
        <v>31</v>
      </c>
      <c r="I51" s="12">
        <f t="shared" si="6"/>
        <v>13</v>
      </c>
      <c r="J51" s="12">
        <f t="shared" si="6"/>
        <v>15</v>
      </c>
      <c r="K51" s="12">
        <v>1</v>
      </c>
      <c r="L51" s="12">
        <f t="shared" si="6"/>
        <v>13</v>
      </c>
      <c r="M51" s="12">
        <f t="shared" si="6"/>
        <v>9</v>
      </c>
      <c r="N51" s="12">
        <f t="shared" si="6"/>
        <v>8</v>
      </c>
      <c r="O51" s="12">
        <f t="shared" si="6"/>
        <v>18</v>
      </c>
      <c r="P51" s="12">
        <f t="shared" si="6"/>
        <v>26</v>
      </c>
      <c r="R51">
        <f t="shared" si="0"/>
        <v>441</v>
      </c>
    </row>
    <row r="52" spans="1:18" x14ac:dyDescent="0.25">
      <c r="A52" s="15">
        <v>1</v>
      </c>
      <c r="B52" s="17" t="s">
        <v>342</v>
      </c>
      <c r="C52" s="12">
        <v>1</v>
      </c>
      <c r="D52" s="12">
        <v>0</v>
      </c>
      <c r="E52" s="12">
        <v>5</v>
      </c>
      <c r="F52" s="12">
        <v>12</v>
      </c>
      <c r="G52" s="12">
        <v>0</v>
      </c>
      <c r="H52" s="12">
        <v>6</v>
      </c>
      <c r="I52" s="12">
        <v>5</v>
      </c>
      <c r="J52" s="12">
        <v>5</v>
      </c>
      <c r="K52" s="12">
        <v>1</v>
      </c>
      <c r="O52">
        <v>4</v>
      </c>
      <c r="P52">
        <v>8</v>
      </c>
      <c r="R52">
        <f t="shared" si="0"/>
        <v>47</v>
      </c>
    </row>
    <row r="53" spans="1:18" x14ac:dyDescent="0.25">
      <c r="A53" s="15">
        <v>2</v>
      </c>
      <c r="B53" s="17" t="s">
        <v>343</v>
      </c>
      <c r="C53" s="12">
        <v>0</v>
      </c>
      <c r="D53" s="12">
        <v>0</v>
      </c>
      <c r="E53" s="12">
        <v>0</v>
      </c>
      <c r="G53" s="12">
        <v>0</v>
      </c>
      <c r="H53" s="12">
        <v>4</v>
      </c>
      <c r="R53">
        <f t="shared" si="0"/>
        <v>4</v>
      </c>
    </row>
    <row r="54" spans="1:18" x14ac:dyDescent="0.25">
      <c r="A54" s="15">
        <v>3</v>
      </c>
      <c r="B54" s="17" t="s">
        <v>344</v>
      </c>
      <c r="R54">
        <f t="shared" si="0"/>
        <v>0</v>
      </c>
    </row>
    <row r="55" spans="1:18" x14ac:dyDescent="0.25">
      <c r="A55" s="15">
        <v>4</v>
      </c>
      <c r="B55" s="17" t="s">
        <v>345</v>
      </c>
      <c r="C55" s="12">
        <v>3</v>
      </c>
      <c r="D55" s="12">
        <v>0</v>
      </c>
      <c r="G55" s="12">
        <v>0</v>
      </c>
      <c r="R55">
        <f t="shared" si="0"/>
        <v>3</v>
      </c>
    </row>
    <row r="56" spans="1:18" x14ac:dyDescent="0.25">
      <c r="A56" s="15">
        <v>5</v>
      </c>
      <c r="B56" s="17" t="s">
        <v>346</v>
      </c>
      <c r="F56" s="12">
        <v>11</v>
      </c>
      <c r="G56" s="12">
        <v>0</v>
      </c>
      <c r="H56" s="12">
        <v>3</v>
      </c>
      <c r="K56" s="12">
        <v>0</v>
      </c>
      <c r="P56">
        <v>2</v>
      </c>
      <c r="R56">
        <f t="shared" si="0"/>
        <v>16</v>
      </c>
    </row>
    <row r="57" spans="1:18" x14ac:dyDescent="0.25">
      <c r="A57" s="15">
        <v>5.0999999999999996</v>
      </c>
      <c r="B57" s="17" t="s">
        <v>389</v>
      </c>
      <c r="F57" s="12">
        <v>0</v>
      </c>
      <c r="G57" s="12">
        <v>0</v>
      </c>
      <c r="R57">
        <f t="shared" si="0"/>
        <v>0</v>
      </c>
    </row>
    <row r="58" spans="1:18" x14ac:dyDescent="0.25">
      <c r="A58" s="15">
        <v>6</v>
      </c>
      <c r="B58" s="17" t="s">
        <v>347</v>
      </c>
      <c r="R58">
        <f t="shared" si="0"/>
        <v>0</v>
      </c>
    </row>
    <row r="59" spans="1:18" x14ac:dyDescent="0.25">
      <c r="A59" s="15">
        <v>7</v>
      </c>
      <c r="B59" s="17" t="s">
        <v>348</v>
      </c>
      <c r="C59" s="12">
        <v>6</v>
      </c>
      <c r="D59" s="12">
        <v>7</v>
      </c>
      <c r="E59" s="12">
        <v>11</v>
      </c>
      <c r="F59" s="12">
        <v>7</v>
      </c>
      <c r="G59" s="12">
        <v>2</v>
      </c>
      <c r="H59" s="12">
        <v>7</v>
      </c>
      <c r="I59" s="12">
        <v>8</v>
      </c>
      <c r="J59" s="12">
        <v>9</v>
      </c>
      <c r="K59" s="12">
        <v>1</v>
      </c>
      <c r="L59" s="12">
        <v>13</v>
      </c>
      <c r="M59" s="12">
        <v>9</v>
      </c>
      <c r="N59" s="12">
        <v>8</v>
      </c>
      <c r="O59" s="12">
        <v>14</v>
      </c>
      <c r="P59" s="12">
        <v>8</v>
      </c>
      <c r="Q59" s="12">
        <v>2</v>
      </c>
      <c r="R59">
        <f t="shared" si="0"/>
        <v>112</v>
      </c>
    </row>
    <row r="60" spans="1:18" x14ac:dyDescent="0.25">
      <c r="A60" s="15">
        <v>7.1</v>
      </c>
      <c r="B60" s="17" t="s">
        <v>390</v>
      </c>
      <c r="C60" s="12">
        <v>142</v>
      </c>
      <c r="D60" s="12">
        <v>85</v>
      </c>
      <c r="F60" s="12">
        <v>1</v>
      </c>
      <c r="G60" s="12">
        <v>42</v>
      </c>
      <c r="J60" s="12">
        <v>0</v>
      </c>
      <c r="R60">
        <f t="shared" si="0"/>
        <v>270</v>
      </c>
    </row>
    <row r="61" spans="1:18" x14ac:dyDescent="0.25">
      <c r="A61" s="15">
        <v>8</v>
      </c>
      <c r="B61" s="17" t="s">
        <v>349</v>
      </c>
      <c r="F61" s="12">
        <v>1</v>
      </c>
      <c r="H61" s="12">
        <v>0</v>
      </c>
      <c r="R61">
        <f t="shared" si="0"/>
        <v>1</v>
      </c>
    </row>
    <row r="62" spans="1:18" x14ac:dyDescent="0.25">
      <c r="A62" s="15">
        <v>9</v>
      </c>
      <c r="B62" s="17" t="s">
        <v>350</v>
      </c>
      <c r="G62" s="12">
        <v>0</v>
      </c>
      <c r="H62" s="12">
        <v>0</v>
      </c>
      <c r="I62" s="12">
        <v>0</v>
      </c>
      <c r="J62" s="12">
        <v>1</v>
      </c>
      <c r="L62" s="12">
        <v>0</v>
      </c>
      <c r="R62">
        <f t="shared" si="0"/>
        <v>1</v>
      </c>
    </row>
    <row r="63" spans="1:18" x14ac:dyDescent="0.25">
      <c r="A63" s="15">
        <v>10</v>
      </c>
      <c r="B63" s="17" t="s">
        <v>351</v>
      </c>
      <c r="C63" s="12">
        <v>1</v>
      </c>
      <c r="D63" s="12">
        <v>1</v>
      </c>
      <c r="F63" s="12">
        <v>2</v>
      </c>
      <c r="G63" s="12">
        <v>1</v>
      </c>
      <c r="H63" s="12">
        <v>11</v>
      </c>
      <c r="P63">
        <v>8</v>
      </c>
      <c r="R63">
        <f t="shared" si="0"/>
        <v>24</v>
      </c>
    </row>
    <row r="64" spans="1:18" x14ac:dyDescent="0.25">
      <c r="A64" s="16"/>
      <c r="B64" s="17"/>
      <c r="Q64">
        <v>12</v>
      </c>
      <c r="R64">
        <f t="shared" si="0"/>
        <v>12</v>
      </c>
    </row>
    <row r="65" spans="1:18" x14ac:dyDescent="0.25">
      <c r="A65" s="10" t="s">
        <v>352</v>
      </c>
      <c r="R65">
        <f t="shared" si="0"/>
        <v>0</v>
      </c>
    </row>
    <row r="66" spans="1:18" x14ac:dyDescent="0.25">
      <c r="A66" s="15">
        <v>1</v>
      </c>
      <c r="B66" s="17" t="s">
        <v>353</v>
      </c>
      <c r="C66" s="12">
        <v>33</v>
      </c>
      <c r="D66" s="12">
        <v>20</v>
      </c>
      <c r="E66" s="12">
        <v>57</v>
      </c>
      <c r="F66" s="12">
        <v>60</v>
      </c>
      <c r="G66" s="12">
        <v>28</v>
      </c>
      <c r="H66" s="12">
        <v>69</v>
      </c>
      <c r="J66" s="12">
        <v>52</v>
      </c>
      <c r="K66" s="12">
        <v>62</v>
      </c>
      <c r="L66" s="12">
        <v>45</v>
      </c>
      <c r="M66" s="12">
        <v>38</v>
      </c>
      <c r="N66" s="12">
        <v>4</v>
      </c>
      <c r="P66" s="12">
        <v>27</v>
      </c>
      <c r="Q66" s="12">
        <v>24</v>
      </c>
      <c r="R66">
        <f t="shared" si="0"/>
        <v>519</v>
      </c>
    </row>
    <row r="67" spans="1:18" x14ac:dyDescent="0.25">
      <c r="A67" s="15">
        <v>2</v>
      </c>
      <c r="B67" s="17" t="s">
        <v>354</v>
      </c>
      <c r="C67" s="12">
        <v>0</v>
      </c>
      <c r="D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N67">
        <v>15</v>
      </c>
      <c r="R67">
        <f t="shared" si="0"/>
        <v>15</v>
      </c>
    </row>
    <row r="68" spans="1:18" x14ac:dyDescent="0.25">
      <c r="A68" s="15">
        <v>3</v>
      </c>
      <c r="B68" s="17" t="s">
        <v>391</v>
      </c>
      <c r="C68" s="12">
        <v>0</v>
      </c>
      <c r="D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N68">
        <v>20</v>
      </c>
      <c r="R68">
        <f t="shared" ref="R68:R81" si="7">SUM(C68:Q68)</f>
        <v>20</v>
      </c>
    </row>
    <row r="69" spans="1:18" x14ac:dyDescent="0.25">
      <c r="A69" s="15">
        <v>4</v>
      </c>
      <c r="B69" s="17" t="s">
        <v>356</v>
      </c>
      <c r="C69" s="12">
        <v>183</v>
      </c>
      <c r="D69" s="12">
        <v>0</v>
      </c>
      <c r="E69" s="12">
        <v>58</v>
      </c>
      <c r="F69" s="12">
        <v>73</v>
      </c>
      <c r="G69" s="12">
        <v>30</v>
      </c>
      <c r="I69" s="12">
        <v>77</v>
      </c>
      <c r="J69" s="12">
        <v>0</v>
      </c>
      <c r="L69" s="12">
        <v>31</v>
      </c>
      <c r="M69" s="12">
        <v>19</v>
      </c>
      <c r="N69" s="12">
        <v>25</v>
      </c>
      <c r="O69">
        <v>48</v>
      </c>
      <c r="P69" s="12">
        <v>39</v>
      </c>
      <c r="Q69" s="12">
        <v>26</v>
      </c>
      <c r="R69">
        <f t="shared" si="7"/>
        <v>609</v>
      </c>
    </row>
    <row r="70" spans="1:18" x14ac:dyDescent="0.25">
      <c r="A70" s="15">
        <v>5</v>
      </c>
      <c r="B70" s="17" t="s">
        <v>357</v>
      </c>
      <c r="C70" s="12">
        <v>127</v>
      </c>
      <c r="D70" s="12">
        <v>35</v>
      </c>
      <c r="E70" s="12">
        <v>19</v>
      </c>
      <c r="F70" s="12">
        <v>46</v>
      </c>
      <c r="G70" s="12">
        <v>45</v>
      </c>
      <c r="I70" s="12">
        <v>47</v>
      </c>
      <c r="J70" s="12">
        <v>36</v>
      </c>
      <c r="K70" s="12">
        <v>0</v>
      </c>
      <c r="L70" s="12">
        <v>30</v>
      </c>
      <c r="M70" s="12">
        <v>22</v>
      </c>
      <c r="N70" s="12"/>
      <c r="O70">
        <v>52</v>
      </c>
      <c r="P70">
        <v>46</v>
      </c>
      <c r="Q70" s="12">
        <v>60</v>
      </c>
      <c r="R70">
        <f t="shared" si="7"/>
        <v>565</v>
      </c>
    </row>
    <row r="71" spans="1:18" x14ac:dyDescent="0.25">
      <c r="A71" s="15">
        <v>6</v>
      </c>
      <c r="B71" s="17" t="s">
        <v>358</v>
      </c>
      <c r="C71" s="12">
        <v>0</v>
      </c>
      <c r="E71" s="12">
        <v>52</v>
      </c>
      <c r="F71" s="12">
        <v>50</v>
      </c>
      <c r="G71" s="12">
        <v>0</v>
      </c>
      <c r="I71" s="12">
        <v>68</v>
      </c>
      <c r="J71" s="12">
        <v>29</v>
      </c>
      <c r="L71" s="12">
        <v>40</v>
      </c>
      <c r="M71" s="12">
        <v>25</v>
      </c>
      <c r="N71" s="12">
        <v>10</v>
      </c>
      <c r="O71" s="12"/>
      <c r="P71" s="12">
        <v>26</v>
      </c>
      <c r="Q71" s="12">
        <v>22</v>
      </c>
      <c r="R71">
        <f t="shared" si="7"/>
        <v>322</v>
      </c>
    </row>
    <row r="72" spans="1:18" x14ac:dyDescent="0.25">
      <c r="A72" s="15">
        <v>7</v>
      </c>
      <c r="B72" s="17" t="s">
        <v>359</v>
      </c>
      <c r="C72" s="12">
        <v>40</v>
      </c>
      <c r="D72" s="12">
        <v>35</v>
      </c>
      <c r="E72" s="12">
        <v>83</v>
      </c>
      <c r="G72" s="12">
        <v>32</v>
      </c>
      <c r="H72" s="12">
        <v>105</v>
      </c>
      <c r="I72" s="12">
        <v>78</v>
      </c>
      <c r="J72" s="12">
        <v>0</v>
      </c>
      <c r="K72" s="12">
        <v>90</v>
      </c>
      <c r="L72" s="12">
        <v>60</v>
      </c>
      <c r="N72" s="12">
        <v>25</v>
      </c>
      <c r="O72">
        <v>31</v>
      </c>
      <c r="P72">
        <v>31</v>
      </c>
      <c r="Q72" s="12">
        <v>21</v>
      </c>
      <c r="R72">
        <f t="shared" si="7"/>
        <v>631</v>
      </c>
    </row>
    <row r="73" spans="1:18" x14ac:dyDescent="0.25">
      <c r="A73" s="15">
        <v>8</v>
      </c>
      <c r="B73" s="17" t="s">
        <v>360</v>
      </c>
      <c r="D73" s="12">
        <v>0</v>
      </c>
      <c r="N73" s="12">
        <v>13</v>
      </c>
      <c r="Q73" s="12"/>
      <c r="R73">
        <f t="shared" si="7"/>
        <v>13</v>
      </c>
    </row>
    <row r="74" spans="1:18" x14ac:dyDescent="0.25">
      <c r="A74" s="15">
        <v>9</v>
      </c>
      <c r="B74" s="17" t="s">
        <v>361</v>
      </c>
      <c r="D74" s="12">
        <v>0</v>
      </c>
      <c r="H74" s="12">
        <v>0</v>
      </c>
      <c r="I74" s="12">
        <v>0</v>
      </c>
      <c r="J74" s="12">
        <v>0</v>
      </c>
      <c r="N74" s="12">
        <v>15</v>
      </c>
      <c r="O74">
        <v>31</v>
      </c>
      <c r="Q74" s="12"/>
      <c r="R74">
        <f t="shared" si="7"/>
        <v>46</v>
      </c>
    </row>
    <row r="75" spans="1:18" x14ac:dyDescent="0.25">
      <c r="A75" s="15">
        <v>10</v>
      </c>
      <c r="B75" s="17" t="s">
        <v>362</v>
      </c>
      <c r="D75" s="12">
        <v>0</v>
      </c>
      <c r="H75" s="12">
        <v>0</v>
      </c>
      <c r="I75" s="12">
        <v>0</v>
      </c>
      <c r="J75" s="12">
        <v>0</v>
      </c>
      <c r="N75" s="12">
        <v>25</v>
      </c>
      <c r="O75">
        <v>41</v>
      </c>
      <c r="Q75" s="12"/>
      <c r="R75">
        <f t="shared" si="7"/>
        <v>66</v>
      </c>
    </row>
    <row r="76" spans="1:18" x14ac:dyDescent="0.25">
      <c r="A76" s="15">
        <v>11</v>
      </c>
      <c r="B76" s="17" t="s">
        <v>363</v>
      </c>
      <c r="R76">
        <f t="shared" si="7"/>
        <v>0</v>
      </c>
    </row>
    <row r="77" spans="1:18" x14ac:dyDescent="0.25">
      <c r="A77" s="15">
        <v>12</v>
      </c>
      <c r="B77" s="17" t="s">
        <v>364</v>
      </c>
      <c r="R77">
        <f t="shared" si="7"/>
        <v>0</v>
      </c>
    </row>
    <row r="78" spans="1:18" x14ac:dyDescent="0.25">
      <c r="R78">
        <f t="shared" si="7"/>
        <v>0</v>
      </c>
    </row>
    <row r="79" spans="1:18" x14ac:dyDescent="0.25">
      <c r="A79" s="10" t="s">
        <v>365</v>
      </c>
      <c r="C79" s="12">
        <f>SUM(C80,C84)</f>
        <v>0</v>
      </c>
      <c r="D79" s="12">
        <f t="shared" ref="D79:O79" si="8">SUM(D80,D84)</f>
        <v>2</v>
      </c>
      <c r="E79" s="12">
        <f t="shared" si="8"/>
        <v>0</v>
      </c>
      <c r="F79" s="12">
        <v>0</v>
      </c>
      <c r="G79" s="12">
        <f t="shared" si="8"/>
        <v>0</v>
      </c>
      <c r="H79" s="12">
        <v>5</v>
      </c>
      <c r="I79" s="12">
        <f t="shared" si="8"/>
        <v>0</v>
      </c>
      <c r="J79" s="12">
        <f t="shared" si="8"/>
        <v>1</v>
      </c>
      <c r="K79" s="12">
        <f t="shared" si="8"/>
        <v>0</v>
      </c>
      <c r="L79" s="12">
        <f t="shared" si="8"/>
        <v>0</v>
      </c>
      <c r="M79" s="12">
        <f t="shared" si="8"/>
        <v>0</v>
      </c>
      <c r="N79" s="12">
        <f t="shared" si="8"/>
        <v>0</v>
      </c>
      <c r="O79" s="12">
        <f t="shared" si="8"/>
        <v>1</v>
      </c>
      <c r="P79" s="12">
        <f>SUM(P80,P84)</f>
        <v>0</v>
      </c>
      <c r="Q79" s="12">
        <f>SUM(Q80,Q84)</f>
        <v>0</v>
      </c>
      <c r="R79">
        <f t="shared" si="7"/>
        <v>9</v>
      </c>
    </row>
    <row r="80" spans="1:18" x14ac:dyDescent="0.25">
      <c r="A80" s="15">
        <v>1</v>
      </c>
      <c r="B80" s="17" t="s">
        <v>366</v>
      </c>
      <c r="C80" s="12">
        <f t="shared" ref="C80:O80" si="9">SUM(C81:C84)</f>
        <v>0</v>
      </c>
      <c r="D80" s="12">
        <f t="shared" si="9"/>
        <v>1</v>
      </c>
      <c r="E80" s="12">
        <f t="shared" si="9"/>
        <v>0</v>
      </c>
      <c r="F80" s="12">
        <f t="shared" si="9"/>
        <v>5</v>
      </c>
      <c r="G80" s="12">
        <f t="shared" si="9"/>
        <v>0</v>
      </c>
      <c r="H80" s="12">
        <f t="shared" si="9"/>
        <v>6</v>
      </c>
      <c r="I80" s="12">
        <f t="shared" si="9"/>
        <v>0</v>
      </c>
      <c r="J80" s="12">
        <f t="shared" si="9"/>
        <v>1</v>
      </c>
      <c r="K80" s="12">
        <f t="shared" si="9"/>
        <v>0</v>
      </c>
      <c r="L80" s="12">
        <f t="shared" si="9"/>
        <v>0</v>
      </c>
      <c r="M80" s="12">
        <f t="shared" si="9"/>
        <v>0</v>
      </c>
      <c r="N80" s="12">
        <f t="shared" si="9"/>
        <v>0</v>
      </c>
      <c r="O80" s="12">
        <f t="shared" si="9"/>
        <v>1</v>
      </c>
      <c r="P80" s="12">
        <f>SUM(P81:P84)</f>
        <v>0</v>
      </c>
      <c r="Q80" s="12">
        <f>SUM(Q81:Q84)</f>
        <v>0</v>
      </c>
      <c r="R80">
        <f t="shared" si="7"/>
        <v>14</v>
      </c>
    </row>
    <row r="81" spans="1:18" x14ac:dyDescent="0.25">
      <c r="A81" s="15">
        <v>1.1000000000000001</v>
      </c>
      <c r="B81" s="17" t="s">
        <v>367</v>
      </c>
      <c r="F81" s="12">
        <v>1</v>
      </c>
      <c r="H81" s="12">
        <v>1</v>
      </c>
      <c r="J81" s="12">
        <v>1</v>
      </c>
      <c r="O81">
        <v>1</v>
      </c>
      <c r="R81">
        <f t="shared" si="7"/>
        <v>4</v>
      </c>
    </row>
    <row r="82" spans="1:18" x14ac:dyDescent="0.25">
      <c r="A82" s="15">
        <v>1.2</v>
      </c>
      <c r="B82" s="17" t="s">
        <v>368</v>
      </c>
      <c r="F82" s="12">
        <v>1</v>
      </c>
      <c r="H82" s="12">
        <v>1</v>
      </c>
      <c r="R82">
        <f>SUM(C82:Q82)</f>
        <v>2</v>
      </c>
    </row>
    <row r="83" spans="1:18" x14ac:dyDescent="0.25">
      <c r="A83" s="15">
        <v>1.3</v>
      </c>
      <c r="B83" s="17" t="s">
        <v>369</v>
      </c>
      <c r="F83" s="12">
        <v>2</v>
      </c>
      <c r="H83" s="12">
        <v>2</v>
      </c>
      <c r="R83">
        <f t="shared" ref="R83:R103" si="10">SUM(C83:Q83)</f>
        <v>4</v>
      </c>
    </row>
    <row r="84" spans="1:18" x14ac:dyDescent="0.25">
      <c r="A84" s="15">
        <v>2</v>
      </c>
      <c r="B84" s="17" t="s">
        <v>370</v>
      </c>
      <c r="D84" s="12">
        <v>1</v>
      </c>
      <c r="F84" s="12">
        <v>1</v>
      </c>
      <c r="H84" s="12">
        <v>2</v>
      </c>
      <c r="R84">
        <f t="shared" si="10"/>
        <v>4</v>
      </c>
    </row>
    <row r="85" spans="1:18" x14ac:dyDescent="0.25">
      <c r="A85" s="15">
        <v>3</v>
      </c>
      <c r="B85" s="17" t="s">
        <v>371</v>
      </c>
      <c r="H85" s="12">
        <v>1</v>
      </c>
      <c r="J85" s="12">
        <v>0</v>
      </c>
      <c r="K85" s="12">
        <v>1</v>
      </c>
      <c r="P85">
        <v>1</v>
      </c>
      <c r="R85">
        <f t="shared" si="10"/>
        <v>3</v>
      </c>
    </row>
    <row r="86" spans="1:18" x14ac:dyDescent="0.25">
      <c r="A86" s="15">
        <v>4</v>
      </c>
      <c r="B86" s="17" t="s">
        <v>372</v>
      </c>
      <c r="H86" s="12">
        <v>1</v>
      </c>
      <c r="R86">
        <f t="shared" si="10"/>
        <v>1</v>
      </c>
    </row>
    <row r="87" spans="1:18" x14ac:dyDescent="0.25">
      <c r="R87">
        <f t="shared" si="10"/>
        <v>0</v>
      </c>
    </row>
    <row r="88" spans="1:18" x14ac:dyDescent="0.25">
      <c r="A88" s="10" t="s">
        <v>373</v>
      </c>
      <c r="R88">
        <f t="shared" si="10"/>
        <v>0</v>
      </c>
    </row>
    <row r="89" spans="1:18" x14ac:dyDescent="0.25">
      <c r="A89" s="15">
        <v>1</v>
      </c>
      <c r="B89" s="17" t="s">
        <v>374</v>
      </c>
      <c r="F89" s="12">
        <v>1</v>
      </c>
      <c r="G89" s="12">
        <v>0</v>
      </c>
      <c r="H89" s="12">
        <v>0</v>
      </c>
      <c r="R89">
        <f t="shared" si="10"/>
        <v>1</v>
      </c>
    </row>
    <row r="90" spans="1:18" x14ac:dyDescent="0.25">
      <c r="A90" s="16">
        <v>2</v>
      </c>
      <c r="B90" s="17" t="s">
        <v>375</v>
      </c>
      <c r="F90" s="12">
        <v>0</v>
      </c>
      <c r="I90" s="12">
        <v>0</v>
      </c>
      <c r="M90" s="12">
        <v>2</v>
      </c>
      <c r="R90">
        <f t="shared" si="10"/>
        <v>2</v>
      </c>
    </row>
    <row r="91" spans="1:18" x14ac:dyDescent="0.25">
      <c r="A91" s="15">
        <v>3</v>
      </c>
      <c r="B91" s="17" t="s">
        <v>376</v>
      </c>
      <c r="C91" s="12">
        <v>142</v>
      </c>
      <c r="D91" s="12">
        <v>0</v>
      </c>
      <c r="F91" s="12">
        <v>11</v>
      </c>
      <c r="G91" s="12">
        <v>42</v>
      </c>
      <c r="I91" s="12">
        <v>0</v>
      </c>
      <c r="M91" s="12">
        <v>10</v>
      </c>
      <c r="R91">
        <f t="shared" si="10"/>
        <v>205</v>
      </c>
    </row>
    <row r="92" spans="1:18" x14ac:dyDescent="0.25">
      <c r="A92" s="15">
        <v>4</v>
      </c>
      <c r="B92" s="17" t="s">
        <v>377</v>
      </c>
      <c r="C92" s="12">
        <v>13</v>
      </c>
      <c r="D92" s="12">
        <v>12</v>
      </c>
      <c r="E92" s="12">
        <v>11</v>
      </c>
      <c r="F92" s="12">
        <v>1</v>
      </c>
      <c r="G92" s="12">
        <v>13</v>
      </c>
      <c r="H92" s="12">
        <v>0</v>
      </c>
      <c r="J92" s="12">
        <v>0</v>
      </c>
      <c r="L92" s="12">
        <v>13</v>
      </c>
      <c r="O92">
        <v>4</v>
      </c>
      <c r="P92">
        <v>2</v>
      </c>
      <c r="Q92">
        <v>2</v>
      </c>
      <c r="R92">
        <f t="shared" si="10"/>
        <v>71</v>
      </c>
    </row>
    <row r="93" spans="1:18" x14ac:dyDescent="0.25">
      <c r="A93" s="15">
        <v>5</v>
      </c>
      <c r="B93" s="17" t="s">
        <v>378</v>
      </c>
      <c r="D93" s="12">
        <v>1</v>
      </c>
      <c r="G93" s="12">
        <v>1</v>
      </c>
      <c r="P93">
        <v>2</v>
      </c>
      <c r="Q93">
        <v>2</v>
      </c>
      <c r="R93">
        <f t="shared" si="10"/>
        <v>6</v>
      </c>
    </row>
    <row r="94" spans="1:18" ht="30" x14ac:dyDescent="0.25">
      <c r="A94" s="15">
        <v>6</v>
      </c>
      <c r="B94" s="17" t="s">
        <v>379</v>
      </c>
      <c r="D94" s="12">
        <v>2</v>
      </c>
      <c r="R94">
        <f t="shared" si="10"/>
        <v>2</v>
      </c>
    </row>
    <row r="95" spans="1:18" x14ac:dyDescent="0.25">
      <c r="A95" s="15">
        <v>7</v>
      </c>
      <c r="B95" s="17" t="s">
        <v>380</v>
      </c>
      <c r="J95" s="12">
        <v>0</v>
      </c>
      <c r="R95">
        <f t="shared" si="10"/>
        <v>0</v>
      </c>
    </row>
    <row r="96" spans="1:18" x14ac:dyDescent="0.25">
      <c r="A96" s="16">
        <v>8</v>
      </c>
      <c r="B96" s="17" t="s">
        <v>381</v>
      </c>
      <c r="E96" s="12">
        <v>2</v>
      </c>
      <c r="G96" s="12">
        <v>0</v>
      </c>
      <c r="R96">
        <f t="shared" si="10"/>
        <v>2</v>
      </c>
    </row>
    <row r="97" spans="1:18" x14ac:dyDescent="0.25">
      <c r="A97" s="15">
        <v>9</v>
      </c>
      <c r="B97" s="17" t="s">
        <v>382</v>
      </c>
      <c r="C97" s="12">
        <v>0</v>
      </c>
      <c r="D97" s="12">
        <v>0</v>
      </c>
      <c r="F97" s="12">
        <v>1</v>
      </c>
      <c r="M97" s="12">
        <v>1</v>
      </c>
      <c r="R97">
        <f t="shared" si="10"/>
        <v>2</v>
      </c>
    </row>
    <row r="98" spans="1:18" x14ac:dyDescent="0.25">
      <c r="A98" s="15">
        <v>10</v>
      </c>
      <c r="B98" s="17" t="s">
        <v>383</v>
      </c>
      <c r="R98">
        <f t="shared" si="10"/>
        <v>0</v>
      </c>
    </row>
    <row r="99" spans="1:18" x14ac:dyDescent="0.25">
      <c r="A99" s="15">
        <v>11</v>
      </c>
      <c r="B99" s="17" t="s">
        <v>384</v>
      </c>
      <c r="F99" s="12">
        <v>0</v>
      </c>
      <c r="M99" s="12">
        <v>10</v>
      </c>
      <c r="R99">
        <f t="shared" si="10"/>
        <v>10</v>
      </c>
    </row>
    <row r="100" spans="1:18" x14ac:dyDescent="0.25">
      <c r="A100" s="15">
        <v>12</v>
      </c>
      <c r="B100" s="17" t="s">
        <v>385</v>
      </c>
      <c r="F100" s="12">
        <v>0</v>
      </c>
      <c r="R100">
        <f t="shared" si="10"/>
        <v>0</v>
      </c>
    </row>
    <row r="101" spans="1:18" x14ac:dyDescent="0.25">
      <c r="A101" s="15">
        <v>13</v>
      </c>
      <c r="B101" s="17" t="s">
        <v>386</v>
      </c>
      <c r="F101" s="12">
        <v>0</v>
      </c>
      <c r="R101">
        <f t="shared" si="10"/>
        <v>0</v>
      </c>
    </row>
    <row r="102" spans="1:18" x14ac:dyDescent="0.25">
      <c r="A102" s="16">
        <v>14</v>
      </c>
      <c r="B102" s="17" t="s">
        <v>387</v>
      </c>
      <c r="C102" s="12">
        <v>0</v>
      </c>
      <c r="D102" s="12">
        <v>1</v>
      </c>
      <c r="F102" s="12">
        <v>0</v>
      </c>
      <c r="G102" s="12">
        <v>1</v>
      </c>
      <c r="H102" s="12">
        <v>0</v>
      </c>
      <c r="I102" s="12">
        <v>0</v>
      </c>
      <c r="P102">
        <v>1</v>
      </c>
      <c r="Q102">
        <v>1</v>
      </c>
      <c r="R102">
        <f t="shared" si="10"/>
        <v>4</v>
      </c>
    </row>
    <row r="103" spans="1:18" x14ac:dyDescent="0.25">
      <c r="A103" s="15">
        <v>15</v>
      </c>
      <c r="B103" s="17" t="s">
        <v>388</v>
      </c>
      <c r="C103" s="12">
        <v>0</v>
      </c>
      <c r="I103" s="12">
        <v>0</v>
      </c>
      <c r="R103">
        <f t="shared" si="10"/>
        <v>0</v>
      </c>
    </row>
    <row r="114" spans="1:2" x14ac:dyDescent="0.25">
      <c r="A114" s="16"/>
      <c r="B114" s="17"/>
    </row>
    <row r="123" spans="1:2" x14ac:dyDescent="0.25">
      <c r="A123" s="16"/>
      <c r="B123" s="17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21"/>
  <sheetViews>
    <sheetView zoomScale="120" zoomScaleNormal="90" workbookViewId="0">
      <pane xSplit="2" ySplit="3" topLeftCell="F9" activePane="bottomRight" state="frozen"/>
      <selection activeCell="A2" sqref="A2"/>
      <selection pane="topRight" activeCell="B2" sqref="B2"/>
      <selection pane="bottomLeft" activeCell="A4" sqref="A4"/>
      <selection pane="bottomRight" activeCell="Q27" sqref="Q27"/>
    </sheetView>
  </sheetViews>
  <sheetFormatPr defaultRowHeight="15" x14ac:dyDescent="0.25"/>
  <cols>
    <col min="1" max="1" width="5.5703125" style="15" customWidth="1"/>
    <col min="2" max="2" width="38.28515625" customWidth="1"/>
    <col min="3" max="3" width="12" style="12" bestFit="1" customWidth="1"/>
    <col min="4" max="4" width="11" style="12" bestFit="1" customWidth="1"/>
    <col min="5" max="5" width="14.7109375" style="12" bestFit="1" customWidth="1"/>
    <col min="6" max="6" width="11.42578125" style="12" bestFit="1" customWidth="1"/>
    <col min="7" max="7" width="12.85546875" bestFit="1" customWidth="1"/>
    <col min="8" max="8" width="8.140625" style="12" bestFit="1" customWidth="1"/>
    <col min="9" max="9" width="8.140625" bestFit="1" customWidth="1"/>
    <col min="10" max="10" width="6.42578125" bestFit="1" customWidth="1"/>
    <col min="11" max="11" width="10" style="12" bestFit="1" customWidth="1"/>
    <col min="12" max="12" width="8.5703125" style="12" bestFit="1" customWidth="1"/>
    <col min="13" max="13" width="12.42578125" style="12" bestFit="1" customWidth="1"/>
    <col min="14" max="14" width="11.28515625" style="12" bestFit="1" customWidth="1"/>
    <col min="15" max="15" width="10.7109375" bestFit="1" customWidth="1"/>
    <col min="16" max="16" width="7.42578125" style="12" bestFit="1" customWidth="1"/>
    <col min="17" max="17" width="9.5703125" style="12" bestFit="1" customWidth="1"/>
    <col min="18" max="18" width="10.28515625" style="12" bestFit="1" customWidth="1"/>
    <col min="19" max="19" width="10.5703125" style="12" bestFit="1" customWidth="1"/>
    <col min="20" max="20" width="10.7109375" bestFit="1" customWidth="1"/>
    <col min="21" max="21" width="8.28515625" style="12" bestFit="1" customWidth="1"/>
    <col min="22" max="22" width="9.140625" customWidth="1"/>
    <col min="23" max="23" width="10" bestFit="1" customWidth="1"/>
    <col min="24" max="24" width="9.5703125" style="12" bestFit="1" customWidth="1"/>
    <col min="25" max="25" width="11" style="12" bestFit="1" customWidth="1"/>
    <col min="26" max="26" width="6" style="12" bestFit="1" customWidth="1"/>
    <col min="27" max="27" width="9.28515625" style="12" bestFit="1" customWidth="1"/>
    <col min="28" max="28" width="9.5703125" bestFit="1" customWidth="1"/>
  </cols>
  <sheetData>
    <row r="1" spans="1:28" x14ac:dyDescent="0.25">
      <c r="A1" s="15" t="s">
        <v>41</v>
      </c>
    </row>
    <row r="2" spans="1:28" x14ac:dyDescent="0.25">
      <c r="C2" s="36" t="s">
        <v>109</v>
      </c>
      <c r="D2" s="34" t="s">
        <v>110</v>
      </c>
      <c r="E2" s="34" t="s">
        <v>111</v>
      </c>
      <c r="F2" s="34" t="s">
        <v>393</v>
      </c>
      <c r="G2" s="1" t="s">
        <v>112</v>
      </c>
      <c r="H2" s="34" t="s">
        <v>113</v>
      </c>
      <c r="I2" s="1" t="s">
        <v>396</v>
      </c>
      <c r="J2" s="1" t="s">
        <v>397</v>
      </c>
      <c r="K2" s="34" t="s">
        <v>114</v>
      </c>
      <c r="L2" s="34" t="s">
        <v>115</v>
      </c>
      <c r="M2" s="34" t="s">
        <v>116</v>
      </c>
      <c r="N2" s="34" t="s">
        <v>117</v>
      </c>
      <c r="O2" s="1" t="s">
        <v>118</v>
      </c>
      <c r="P2" s="34" t="s">
        <v>119</v>
      </c>
      <c r="Q2" s="34" t="s">
        <v>120</v>
      </c>
      <c r="R2" s="34" t="s">
        <v>121</v>
      </c>
      <c r="S2" s="34" t="s">
        <v>122</v>
      </c>
      <c r="T2" s="1" t="s">
        <v>123</v>
      </c>
      <c r="U2" s="34" t="s">
        <v>124</v>
      </c>
      <c r="V2" s="1" t="s">
        <v>125</v>
      </c>
      <c r="W2" s="1" t="s">
        <v>126</v>
      </c>
      <c r="X2" s="34" t="s">
        <v>127</v>
      </c>
      <c r="Y2" s="34" t="s">
        <v>128</v>
      </c>
      <c r="Z2" s="34" t="s">
        <v>424</v>
      </c>
      <c r="AA2" s="34" t="s">
        <v>129</v>
      </c>
      <c r="AB2" s="1" t="s">
        <v>40</v>
      </c>
    </row>
    <row r="3" spans="1:28" x14ac:dyDescent="0.25">
      <c r="C3" s="34" t="s">
        <v>130</v>
      </c>
      <c r="D3" s="34" t="s">
        <v>131</v>
      </c>
      <c r="E3" s="34" t="s">
        <v>132</v>
      </c>
      <c r="F3" s="34" t="s">
        <v>394</v>
      </c>
      <c r="G3" s="1" t="s">
        <v>133</v>
      </c>
      <c r="H3" s="34" t="s">
        <v>101</v>
      </c>
      <c r="I3" s="1"/>
      <c r="J3" s="1"/>
      <c r="K3" s="34" t="s">
        <v>134</v>
      </c>
      <c r="L3" s="34" t="s">
        <v>135</v>
      </c>
      <c r="M3" s="34" t="s">
        <v>136</v>
      </c>
      <c r="N3" s="34" t="s">
        <v>137</v>
      </c>
      <c r="O3" s="1" t="s">
        <v>103</v>
      </c>
      <c r="P3" s="34" t="s">
        <v>36</v>
      </c>
      <c r="Q3" s="34" t="s">
        <v>138</v>
      </c>
      <c r="R3" s="34" t="s">
        <v>139</v>
      </c>
      <c r="S3" s="34" t="s">
        <v>140</v>
      </c>
      <c r="T3" s="1" t="s">
        <v>141</v>
      </c>
      <c r="U3" s="34" t="s">
        <v>102</v>
      </c>
      <c r="V3" s="1" t="s">
        <v>39</v>
      </c>
      <c r="W3" s="1" t="s">
        <v>142</v>
      </c>
      <c r="X3" s="34" t="s">
        <v>101</v>
      </c>
      <c r="Y3" s="34" t="s">
        <v>131</v>
      </c>
      <c r="Z3" s="34"/>
      <c r="AA3" s="34" t="s">
        <v>143</v>
      </c>
    </row>
    <row r="4" spans="1:28" x14ac:dyDescent="0.25">
      <c r="A4" s="10" t="s">
        <v>0</v>
      </c>
      <c r="C4" s="12">
        <f>SUM(C5:C9)</f>
        <v>0</v>
      </c>
      <c r="D4" s="12">
        <v>5</v>
      </c>
      <c r="E4" s="12">
        <v>3</v>
      </c>
      <c r="F4" s="12">
        <v>2</v>
      </c>
      <c r="H4" s="12">
        <v>4</v>
      </c>
      <c r="I4" s="12">
        <v>11</v>
      </c>
      <c r="K4" s="12">
        <v>0</v>
      </c>
      <c r="L4" s="12">
        <f t="shared" ref="L4:Y4" si="0">SUM(L5:L9)</f>
        <v>0</v>
      </c>
      <c r="M4" s="12">
        <v>5</v>
      </c>
      <c r="N4" s="12">
        <f t="shared" si="0"/>
        <v>0</v>
      </c>
      <c r="O4">
        <v>2</v>
      </c>
      <c r="P4" s="12">
        <v>0</v>
      </c>
      <c r="Q4" s="12">
        <v>7</v>
      </c>
      <c r="R4" s="12">
        <v>4</v>
      </c>
      <c r="S4" s="12">
        <v>2</v>
      </c>
      <c r="U4" s="12">
        <f t="shared" si="0"/>
        <v>0</v>
      </c>
      <c r="X4" s="12">
        <v>1</v>
      </c>
      <c r="Y4" s="12">
        <f t="shared" si="0"/>
        <v>0</v>
      </c>
      <c r="Z4" s="12">
        <v>0</v>
      </c>
      <c r="AA4" s="12">
        <v>2</v>
      </c>
      <c r="AB4">
        <f>SUM(K4:AA4)</f>
        <v>23</v>
      </c>
    </row>
    <row r="5" spans="1:28" x14ac:dyDescent="0.25">
      <c r="A5" s="15" t="s">
        <v>1</v>
      </c>
      <c r="AB5">
        <f t="shared" ref="AB5:AB67" si="1">SUM(K5:AA5)</f>
        <v>0</v>
      </c>
    </row>
    <row r="6" spans="1:28" x14ac:dyDescent="0.25">
      <c r="A6" s="15" t="s">
        <v>2</v>
      </c>
      <c r="K6" s="12">
        <v>0</v>
      </c>
      <c r="R6" s="12">
        <v>4</v>
      </c>
      <c r="S6" s="12">
        <v>2</v>
      </c>
      <c r="X6" s="12">
        <v>1</v>
      </c>
      <c r="AB6">
        <f t="shared" si="1"/>
        <v>7</v>
      </c>
    </row>
    <row r="7" spans="1:28" x14ac:dyDescent="0.25">
      <c r="A7" s="15" t="s">
        <v>3</v>
      </c>
      <c r="AB7">
        <f t="shared" si="1"/>
        <v>0</v>
      </c>
    </row>
    <row r="8" spans="1:28" x14ac:dyDescent="0.25">
      <c r="A8" s="15" t="s">
        <v>4</v>
      </c>
      <c r="AB8">
        <f t="shared" si="1"/>
        <v>0</v>
      </c>
    </row>
    <row r="9" spans="1:28" x14ac:dyDescent="0.25">
      <c r="A9" s="15" t="s">
        <v>5</v>
      </c>
      <c r="AB9">
        <f t="shared" si="1"/>
        <v>0</v>
      </c>
    </row>
    <row r="10" spans="1:28" x14ac:dyDescent="0.25">
      <c r="A10" s="10" t="s">
        <v>309</v>
      </c>
      <c r="B10" s="2"/>
      <c r="C10" s="12">
        <f>C17-C22</f>
        <v>0</v>
      </c>
      <c r="D10" s="12">
        <f t="shared" ref="D10:AA10" si="2">D17-D22</f>
        <v>-3</v>
      </c>
      <c r="E10" s="12">
        <f t="shared" si="2"/>
        <v>-2</v>
      </c>
      <c r="F10" s="12">
        <f t="shared" si="2"/>
        <v>0</v>
      </c>
      <c r="G10">
        <f t="shared" si="2"/>
        <v>0</v>
      </c>
      <c r="H10" s="12">
        <f t="shared" si="2"/>
        <v>295</v>
      </c>
      <c r="I10">
        <f t="shared" si="2"/>
        <v>288</v>
      </c>
      <c r="J10">
        <f t="shared" si="2"/>
        <v>0</v>
      </c>
      <c r="K10">
        <f t="shared" si="2"/>
        <v>-1</v>
      </c>
      <c r="L10" s="12">
        <f t="shared" si="2"/>
        <v>38</v>
      </c>
      <c r="M10" s="12">
        <f t="shared" si="2"/>
        <v>146</v>
      </c>
      <c r="N10" s="12">
        <f t="shared" si="2"/>
        <v>390</v>
      </c>
      <c r="O10">
        <f t="shared" si="2"/>
        <v>146</v>
      </c>
      <c r="P10" s="12">
        <f t="shared" si="2"/>
        <v>1392</v>
      </c>
      <c r="Q10" s="12">
        <f t="shared" si="2"/>
        <v>140</v>
      </c>
      <c r="R10" s="12">
        <f t="shared" si="2"/>
        <v>64</v>
      </c>
      <c r="S10" s="12">
        <f t="shared" si="2"/>
        <v>54</v>
      </c>
      <c r="T10">
        <f t="shared" si="2"/>
        <v>0</v>
      </c>
      <c r="U10" s="12">
        <f t="shared" si="2"/>
        <v>292</v>
      </c>
      <c r="V10">
        <f t="shared" si="2"/>
        <v>0</v>
      </c>
      <c r="W10">
        <f>W17-W22</f>
        <v>256</v>
      </c>
      <c r="X10" s="12">
        <f t="shared" si="2"/>
        <v>28</v>
      </c>
      <c r="Y10">
        <f t="shared" si="2"/>
        <v>0</v>
      </c>
      <c r="Z10" s="12">
        <f t="shared" si="2"/>
        <v>43</v>
      </c>
      <c r="AA10" s="12">
        <f t="shared" si="2"/>
        <v>153</v>
      </c>
      <c r="AB10">
        <f t="shared" si="1"/>
        <v>3141</v>
      </c>
    </row>
    <row r="11" spans="1:28" x14ac:dyDescent="0.25">
      <c r="A11" s="15" t="s">
        <v>310</v>
      </c>
      <c r="H11" s="12">
        <v>222</v>
      </c>
      <c r="L11" s="12">
        <v>38</v>
      </c>
      <c r="M11" s="12">
        <v>146</v>
      </c>
      <c r="N11" s="12">
        <v>141</v>
      </c>
      <c r="O11">
        <v>68</v>
      </c>
      <c r="P11" s="12">
        <v>545</v>
      </c>
      <c r="Q11" s="12">
        <v>140</v>
      </c>
      <c r="R11" s="12">
        <f>30+34</f>
        <v>64</v>
      </c>
      <c r="S11" s="12">
        <v>55</v>
      </c>
      <c r="U11" s="12">
        <v>81</v>
      </c>
      <c r="V11">
        <v>0</v>
      </c>
      <c r="W11" s="12">
        <v>116</v>
      </c>
      <c r="X11" s="12">
        <v>28</v>
      </c>
      <c r="Z11" s="12">
        <v>10</v>
      </c>
      <c r="AA11" s="12">
        <v>116</v>
      </c>
      <c r="AB11">
        <f t="shared" si="1"/>
        <v>1548</v>
      </c>
    </row>
    <row r="12" spans="1:28" x14ac:dyDescent="0.25">
      <c r="A12" s="15" t="s">
        <v>311</v>
      </c>
      <c r="H12" s="12">
        <v>70</v>
      </c>
      <c r="N12" s="12">
        <v>39</v>
      </c>
      <c r="O12">
        <v>10</v>
      </c>
      <c r="P12" s="12">
        <v>142</v>
      </c>
      <c r="U12" s="12">
        <v>65</v>
      </c>
      <c r="V12">
        <v>0</v>
      </c>
      <c r="W12">
        <v>12</v>
      </c>
      <c r="AA12" s="12">
        <v>35</v>
      </c>
      <c r="AB12">
        <f t="shared" si="1"/>
        <v>303</v>
      </c>
    </row>
    <row r="13" spans="1:28" x14ac:dyDescent="0.25">
      <c r="A13" s="15">
        <v>1</v>
      </c>
      <c r="B13" t="s">
        <v>312</v>
      </c>
      <c r="H13" s="12">
        <v>0</v>
      </c>
      <c r="I13">
        <v>285</v>
      </c>
      <c r="M13" s="12">
        <v>0</v>
      </c>
      <c r="N13" s="12">
        <v>182</v>
      </c>
      <c r="O13">
        <v>68</v>
      </c>
      <c r="P13" s="12">
        <v>691</v>
      </c>
      <c r="U13" s="12">
        <v>146</v>
      </c>
      <c r="V13">
        <v>0</v>
      </c>
      <c r="W13">
        <v>128</v>
      </c>
      <c r="Y13" s="12">
        <v>0</v>
      </c>
      <c r="Z13" s="12">
        <v>33</v>
      </c>
      <c r="AB13">
        <f t="shared" si="1"/>
        <v>1248</v>
      </c>
    </row>
    <row r="14" spans="1:28" x14ac:dyDescent="0.25">
      <c r="A14" s="15">
        <v>2</v>
      </c>
      <c r="B14" t="s">
        <v>313</v>
      </c>
      <c r="C14" s="12">
        <v>0</v>
      </c>
      <c r="E14" s="12">
        <v>0</v>
      </c>
      <c r="G14">
        <v>0</v>
      </c>
      <c r="H14" s="12">
        <v>3</v>
      </c>
      <c r="I14" s="12">
        <v>3</v>
      </c>
      <c r="M14" s="12">
        <v>0</v>
      </c>
      <c r="N14" s="12">
        <v>11</v>
      </c>
      <c r="P14" s="12">
        <v>10</v>
      </c>
      <c r="Q14" s="12">
        <v>1</v>
      </c>
      <c r="R14" s="12">
        <v>0</v>
      </c>
      <c r="V14">
        <v>0</v>
      </c>
      <c r="Y14" s="12">
        <v>0</v>
      </c>
      <c r="AB14">
        <f t="shared" si="1"/>
        <v>22</v>
      </c>
    </row>
    <row r="15" spans="1:28" x14ac:dyDescent="0.25">
      <c r="A15" s="15">
        <v>3</v>
      </c>
      <c r="B15" t="s">
        <v>314</v>
      </c>
      <c r="D15" s="12">
        <v>2</v>
      </c>
      <c r="G15">
        <v>0</v>
      </c>
      <c r="N15" s="12">
        <v>4</v>
      </c>
      <c r="P15" s="12">
        <v>7</v>
      </c>
      <c r="AA15" s="12">
        <v>2</v>
      </c>
      <c r="AB15">
        <f t="shared" si="1"/>
        <v>13</v>
      </c>
    </row>
    <row r="16" spans="1:28" x14ac:dyDescent="0.25">
      <c r="A16" s="15">
        <v>4</v>
      </c>
      <c r="B16" t="s">
        <v>315</v>
      </c>
      <c r="H16" s="12">
        <v>0</v>
      </c>
      <c r="N16" s="12">
        <v>13</v>
      </c>
      <c r="Y16" s="12">
        <v>0</v>
      </c>
      <c r="AB16">
        <f t="shared" si="1"/>
        <v>13</v>
      </c>
    </row>
    <row r="17" spans="1:28" x14ac:dyDescent="0.25">
      <c r="A17" s="10" t="s">
        <v>428</v>
      </c>
      <c r="C17" s="12">
        <f>SUM(C11:C16)</f>
        <v>0</v>
      </c>
      <c r="D17" s="12">
        <f t="shared" ref="D17:Y17" si="3">SUM(D11:D16)</f>
        <v>2</v>
      </c>
      <c r="E17" s="12">
        <f t="shared" si="3"/>
        <v>0</v>
      </c>
      <c r="F17" s="12">
        <f t="shared" si="3"/>
        <v>0</v>
      </c>
      <c r="G17">
        <f>SUM(G11:G16)</f>
        <v>0</v>
      </c>
      <c r="H17" s="12">
        <f t="shared" si="3"/>
        <v>295</v>
      </c>
      <c r="I17">
        <f t="shared" si="3"/>
        <v>288</v>
      </c>
      <c r="J17">
        <f t="shared" si="3"/>
        <v>0</v>
      </c>
      <c r="K17">
        <f t="shared" si="3"/>
        <v>0</v>
      </c>
      <c r="L17" s="12">
        <f t="shared" si="3"/>
        <v>38</v>
      </c>
      <c r="M17" s="12">
        <f t="shared" si="3"/>
        <v>146</v>
      </c>
      <c r="N17" s="12">
        <f t="shared" si="3"/>
        <v>390</v>
      </c>
      <c r="O17">
        <f t="shared" si="3"/>
        <v>146</v>
      </c>
      <c r="P17" s="12">
        <f t="shared" si="3"/>
        <v>1395</v>
      </c>
      <c r="Q17" s="12">
        <f t="shared" si="3"/>
        <v>141</v>
      </c>
      <c r="R17" s="12">
        <f t="shared" si="3"/>
        <v>64</v>
      </c>
      <c r="S17" s="12">
        <f t="shared" si="3"/>
        <v>55</v>
      </c>
      <c r="T17">
        <f t="shared" si="3"/>
        <v>0</v>
      </c>
      <c r="U17" s="12">
        <f t="shared" si="3"/>
        <v>292</v>
      </c>
      <c r="V17">
        <f t="shared" si="3"/>
        <v>0</v>
      </c>
      <c r="W17">
        <f t="shared" si="3"/>
        <v>256</v>
      </c>
      <c r="X17" s="12">
        <f t="shared" si="3"/>
        <v>28</v>
      </c>
      <c r="Y17">
        <f t="shared" si="3"/>
        <v>0</v>
      </c>
      <c r="Z17" s="12">
        <f>SUM(Z11:Z16)</f>
        <v>43</v>
      </c>
      <c r="AA17" s="12">
        <f>SUM(AA11:AA16)</f>
        <v>153</v>
      </c>
      <c r="AB17">
        <f t="shared" si="1"/>
        <v>3147</v>
      </c>
    </row>
    <row r="18" spans="1:28" x14ac:dyDescent="0.25">
      <c r="A18" s="16"/>
      <c r="B18" s="17"/>
      <c r="AB18">
        <f t="shared" si="1"/>
        <v>0</v>
      </c>
    </row>
    <row r="19" spans="1:28" x14ac:dyDescent="0.25">
      <c r="A19" s="15">
        <v>5</v>
      </c>
      <c r="B19" t="s">
        <v>316</v>
      </c>
      <c r="AB19">
        <f t="shared" si="1"/>
        <v>0</v>
      </c>
    </row>
    <row r="20" spans="1:28" x14ac:dyDescent="0.25">
      <c r="A20" s="15">
        <v>6</v>
      </c>
      <c r="B20" t="s">
        <v>317</v>
      </c>
      <c r="E20" s="12">
        <v>0</v>
      </c>
      <c r="AB20">
        <f t="shared" si="1"/>
        <v>0</v>
      </c>
    </row>
    <row r="21" spans="1:28" x14ac:dyDescent="0.25">
      <c r="A21" s="15">
        <v>7</v>
      </c>
      <c r="B21" t="s">
        <v>318</v>
      </c>
      <c r="D21" s="12">
        <v>5</v>
      </c>
      <c r="E21" s="12">
        <v>2</v>
      </c>
      <c r="H21" s="12">
        <v>0</v>
      </c>
      <c r="I21" s="12">
        <v>1</v>
      </c>
      <c r="K21" s="12">
        <v>1</v>
      </c>
      <c r="M21" s="12">
        <v>0</v>
      </c>
      <c r="N21" s="12">
        <v>0</v>
      </c>
      <c r="P21" s="12">
        <v>3</v>
      </c>
      <c r="Q21" s="12">
        <v>1</v>
      </c>
      <c r="R21" s="12">
        <v>0</v>
      </c>
      <c r="S21" s="12">
        <v>1</v>
      </c>
      <c r="V21">
        <v>0</v>
      </c>
      <c r="Z21" s="12">
        <v>0</v>
      </c>
      <c r="AB21">
        <f t="shared" si="1"/>
        <v>6</v>
      </c>
    </row>
    <row r="22" spans="1:28" x14ac:dyDescent="0.25">
      <c r="A22" s="10" t="s">
        <v>429</v>
      </c>
      <c r="C22" s="12">
        <f>SUM(C19:C21)</f>
        <v>0</v>
      </c>
      <c r="D22" s="12">
        <f t="shared" ref="D22:AA22" si="4">SUM(D19:D21)</f>
        <v>5</v>
      </c>
      <c r="E22" s="12">
        <f t="shared" si="4"/>
        <v>2</v>
      </c>
      <c r="G22">
        <f t="shared" si="4"/>
        <v>0</v>
      </c>
      <c r="H22" s="12">
        <f t="shared" si="4"/>
        <v>0</v>
      </c>
      <c r="K22" s="12">
        <f t="shared" si="4"/>
        <v>1</v>
      </c>
      <c r="L22" s="12">
        <f t="shared" si="4"/>
        <v>0</v>
      </c>
      <c r="M22" s="12">
        <f t="shared" si="4"/>
        <v>0</v>
      </c>
      <c r="N22" s="12">
        <f t="shared" si="4"/>
        <v>0</v>
      </c>
      <c r="O22">
        <f t="shared" si="4"/>
        <v>0</v>
      </c>
      <c r="P22" s="12">
        <f t="shared" si="4"/>
        <v>3</v>
      </c>
      <c r="Q22" s="12">
        <f t="shared" si="4"/>
        <v>1</v>
      </c>
      <c r="R22" s="12">
        <f t="shared" si="4"/>
        <v>0</v>
      </c>
      <c r="S22" s="12">
        <f t="shared" si="4"/>
        <v>1</v>
      </c>
      <c r="T22">
        <f t="shared" si="4"/>
        <v>0</v>
      </c>
      <c r="U22" s="12">
        <f t="shared" si="4"/>
        <v>0</v>
      </c>
      <c r="V22">
        <f t="shared" si="4"/>
        <v>0</v>
      </c>
      <c r="W22">
        <f t="shared" si="4"/>
        <v>0</v>
      </c>
      <c r="X22" s="12">
        <f t="shared" si="4"/>
        <v>0</v>
      </c>
      <c r="Y22" s="12">
        <f t="shared" si="4"/>
        <v>0</v>
      </c>
      <c r="Z22" s="12">
        <f t="shared" si="4"/>
        <v>0</v>
      </c>
      <c r="AA22" s="12">
        <f t="shared" si="4"/>
        <v>0</v>
      </c>
      <c r="AB22">
        <f t="shared" si="1"/>
        <v>6</v>
      </c>
    </row>
    <row r="23" spans="1:28" x14ac:dyDescent="0.25">
      <c r="AB23">
        <f t="shared" si="1"/>
        <v>0</v>
      </c>
    </row>
    <row r="24" spans="1:28" x14ac:dyDescent="0.25">
      <c r="A24" s="16">
        <v>8</v>
      </c>
      <c r="B24" s="17" t="s">
        <v>319</v>
      </c>
      <c r="C24" s="12">
        <v>0</v>
      </c>
      <c r="G24">
        <v>0</v>
      </c>
      <c r="H24" s="12">
        <v>0</v>
      </c>
      <c r="I24">
        <v>1</v>
      </c>
      <c r="M24" s="12">
        <v>0</v>
      </c>
      <c r="P24" s="12">
        <v>1</v>
      </c>
      <c r="AB24">
        <f t="shared" si="1"/>
        <v>1</v>
      </c>
    </row>
    <row r="25" spans="1:28" x14ac:dyDescent="0.25">
      <c r="A25" s="16">
        <v>9</v>
      </c>
      <c r="B25" s="17" t="s">
        <v>320</v>
      </c>
      <c r="G25">
        <v>0</v>
      </c>
      <c r="N25" s="12">
        <v>12</v>
      </c>
      <c r="P25" s="12">
        <v>42</v>
      </c>
      <c r="AB25">
        <f t="shared" si="1"/>
        <v>54</v>
      </c>
    </row>
    <row r="26" spans="1:28" x14ac:dyDescent="0.25">
      <c r="A26" s="15">
        <v>10</v>
      </c>
      <c r="B26" t="s">
        <v>321</v>
      </c>
      <c r="D26" s="12">
        <v>0</v>
      </c>
      <c r="E26" s="12">
        <v>161</v>
      </c>
      <c r="H26" s="12">
        <v>85</v>
      </c>
      <c r="I26" s="12">
        <v>58</v>
      </c>
      <c r="K26" s="12">
        <v>69</v>
      </c>
      <c r="M26" s="12">
        <v>41</v>
      </c>
      <c r="N26" s="12">
        <v>37</v>
      </c>
      <c r="O26" s="12">
        <v>68</v>
      </c>
      <c r="P26" s="12">
        <v>199</v>
      </c>
      <c r="R26" s="12">
        <v>50</v>
      </c>
      <c r="S26" s="12">
        <v>0</v>
      </c>
      <c r="U26" s="12">
        <v>40</v>
      </c>
      <c r="W26" s="12">
        <v>26</v>
      </c>
      <c r="X26" s="12">
        <v>15</v>
      </c>
      <c r="Y26" s="12">
        <v>0</v>
      </c>
      <c r="Z26" s="12">
        <v>10</v>
      </c>
      <c r="AB26">
        <f t="shared" si="1"/>
        <v>555</v>
      </c>
    </row>
    <row r="27" spans="1:28" x14ac:dyDescent="0.25">
      <c r="A27" s="16">
        <v>11</v>
      </c>
      <c r="B27" s="17" t="s">
        <v>322</v>
      </c>
      <c r="D27" s="12">
        <v>19</v>
      </c>
      <c r="E27" s="12">
        <v>61</v>
      </c>
      <c r="F27" s="12">
        <v>2</v>
      </c>
      <c r="H27" s="12">
        <v>75</v>
      </c>
      <c r="I27" s="12">
        <v>27</v>
      </c>
      <c r="K27" s="12">
        <v>52</v>
      </c>
      <c r="L27" s="12">
        <v>6</v>
      </c>
      <c r="M27" s="12">
        <v>35</v>
      </c>
      <c r="O27">
        <v>35</v>
      </c>
      <c r="P27" s="12">
        <v>109</v>
      </c>
      <c r="Q27" s="12">
        <v>26</v>
      </c>
      <c r="R27" s="12">
        <v>30</v>
      </c>
      <c r="S27" s="12">
        <v>0</v>
      </c>
      <c r="U27" s="12">
        <v>27</v>
      </c>
      <c r="V27">
        <v>0</v>
      </c>
      <c r="W27" s="12">
        <v>26</v>
      </c>
      <c r="Y27" s="12">
        <v>0</v>
      </c>
      <c r="Z27" s="12">
        <v>10</v>
      </c>
      <c r="AB27">
        <f t="shared" si="1"/>
        <v>356</v>
      </c>
    </row>
    <row r="28" spans="1:28" x14ac:dyDescent="0.25">
      <c r="A28" s="16">
        <v>12</v>
      </c>
      <c r="B28" s="17" t="s">
        <v>323</v>
      </c>
      <c r="E28" s="12">
        <v>1</v>
      </c>
      <c r="H28" s="12">
        <v>1</v>
      </c>
      <c r="K28" s="12">
        <v>0</v>
      </c>
      <c r="L28" s="12">
        <v>1</v>
      </c>
      <c r="O28">
        <v>0</v>
      </c>
      <c r="AB28">
        <f t="shared" si="1"/>
        <v>1</v>
      </c>
    </row>
    <row r="29" spans="1:28" ht="45" x14ac:dyDescent="0.25">
      <c r="A29" s="16">
        <v>13</v>
      </c>
      <c r="B29" s="17" t="s">
        <v>324</v>
      </c>
      <c r="C29" s="12">
        <v>0</v>
      </c>
      <c r="H29" s="12">
        <v>0</v>
      </c>
      <c r="K29" s="12">
        <v>4</v>
      </c>
      <c r="L29" s="12">
        <v>1</v>
      </c>
      <c r="M29" s="12">
        <v>1</v>
      </c>
      <c r="N29" s="12">
        <v>0</v>
      </c>
      <c r="Q29" s="12">
        <v>1</v>
      </c>
      <c r="R29" s="12">
        <v>2</v>
      </c>
      <c r="U29" s="12">
        <v>4</v>
      </c>
      <c r="X29" s="12">
        <v>1</v>
      </c>
      <c r="Y29" s="12">
        <v>8</v>
      </c>
      <c r="Z29" s="12">
        <v>0</v>
      </c>
      <c r="AB29">
        <f t="shared" si="1"/>
        <v>22</v>
      </c>
    </row>
    <row r="30" spans="1:28" x14ac:dyDescent="0.25">
      <c r="AB30">
        <f t="shared" si="1"/>
        <v>0</v>
      </c>
    </row>
    <row r="31" spans="1:28" ht="75" x14ac:dyDescent="0.25">
      <c r="B31" s="11" t="s">
        <v>325</v>
      </c>
      <c r="AB31">
        <f t="shared" si="1"/>
        <v>0</v>
      </c>
    </row>
    <row r="32" spans="1:28" x14ac:dyDescent="0.25">
      <c r="A32" s="15">
        <v>1</v>
      </c>
      <c r="B32" s="17" t="s">
        <v>326</v>
      </c>
      <c r="C32" s="12">
        <v>0</v>
      </c>
      <c r="D32" s="12">
        <v>0</v>
      </c>
      <c r="E32" s="12">
        <v>0</v>
      </c>
      <c r="H32" s="12">
        <v>3</v>
      </c>
      <c r="I32" s="12">
        <v>779</v>
      </c>
      <c r="K32" s="12">
        <v>0</v>
      </c>
      <c r="N32" s="12">
        <v>0</v>
      </c>
      <c r="P32" s="12">
        <v>715</v>
      </c>
      <c r="R32" s="12">
        <v>347</v>
      </c>
      <c r="S32" s="12">
        <v>0</v>
      </c>
      <c r="V32">
        <v>0</v>
      </c>
      <c r="W32">
        <v>36</v>
      </c>
      <c r="Y32" s="12">
        <v>0</v>
      </c>
      <c r="AB32">
        <f t="shared" si="1"/>
        <v>1098</v>
      </c>
    </row>
    <row r="33" spans="1:28" x14ac:dyDescent="0.25">
      <c r="A33" s="15">
        <v>2</v>
      </c>
      <c r="B33" s="17" t="s">
        <v>327</v>
      </c>
      <c r="C33" s="12">
        <v>0</v>
      </c>
      <c r="H33" s="12">
        <v>0</v>
      </c>
      <c r="I33">
        <v>30</v>
      </c>
      <c r="K33" s="12">
        <v>0</v>
      </c>
      <c r="P33" s="12">
        <v>774</v>
      </c>
      <c r="R33" s="12">
        <v>124</v>
      </c>
      <c r="S33" s="12">
        <v>0</v>
      </c>
      <c r="U33" s="12">
        <v>53</v>
      </c>
      <c r="V33">
        <v>0</v>
      </c>
      <c r="W33">
        <v>1</v>
      </c>
      <c r="Y33" s="12">
        <v>0</v>
      </c>
      <c r="AB33">
        <f t="shared" si="1"/>
        <v>952</v>
      </c>
    </row>
    <row r="34" spans="1:28" x14ac:dyDescent="0.25">
      <c r="A34" s="15">
        <v>3</v>
      </c>
      <c r="B34" s="17" t="s">
        <v>328</v>
      </c>
      <c r="C34" s="12">
        <v>0</v>
      </c>
      <c r="H34" s="12">
        <v>0</v>
      </c>
      <c r="K34" s="12">
        <v>0</v>
      </c>
      <c r="P34" s="12">
        <v>31</v>
      </c>
      <c r="S34" s="12">
        <v>0</v>
      </c>
      <c r="U34" s="12">
        <v>24</v>
      </c>
      <c r="V34">
        <v>0</v>
      </c>
      <c r="W34">
        <v>4</v>
      </c>
      <c r="AB34">
        <f t="shared" si="1"/>
        <v>59</v>
      </c>
    </row>
    <row r="35" spans="1:28" x14ac:dyDescent="0.25">
      <c r="A35" s="16">
        <v>4</v>
      </c>
      <c r="B35" s="17" t="s">
        <v>329</v>
      </c>
      <c r="C35" s="12">
        <v>0</v>
      </c>
      <c r="H35" s="12">
        <v>0</v>
      </c>
      <c r="K35" s="12">
        <v>0</v>
      </c>
      <c r="N35" s="12">
        <v>0</v>
      </c>
      <c r="P35" s="12">
        <v>87</v>
      </c>
      <c r="U35" s="12">
        <v>1</v>
      </c>
      <c r="V35">
        <v>0</v>
      </c>
      <c r="W35">
        <v>14</v>
      </c>
      <c r="Y35" s="12">
        <v>0</v>
      </c>
      <c r="AB35">
        <f t="shared" si="1"/>
        <v>102</v>
      </c>
    </row>
    <row r="36" spans="1:28" x14ac:dyDescent="0.25">
      <c r="A36" s="16">
        <v>5</v>
      </c>
      <c r="B36" s="17" t="s">
        <v>330</v>
      </c>
      <c r="C36" s="12">
        <v>0</v>
      </c>
      <c r="D36" s="12">
        <v>0</v>
      </c>
      <c r="E36" s="12">
        <v>2</v>
      </c>
      <c r="H36" s="12">
        <v>0</v>
      </c>
      <c r="K36" s="12">
        <v>1</v>
      </c>
      <c r="M36" s="12">
        <v>0</v>
      </c>
      <c r="N36" s="12">
        <v>0</v>
      </c>
      <c r="P36" s="12">
        <v>117</v>
      </c>
      <c r="R36" s="12">
        <v>0</v>
      </c>
      <c r="S36" s="12">
        <v>1</v>
      </c>
      <c r="U36" s="12">
        <v>13</v>
      </c>
      <c r="W36">
        <v>12</v>
      </c>
      <c r="Y36" s="12">
        <v>0</v>
      </c>
      <c r="AB36">
        <f t="shared" si="1"/>
        <v>144</v>
      </c>
    </row>
    <row r="37" spans="1:28" x14ac:dyDescent="0.25">
      <c r="A37" s="15">
        <v>6</v>
      </c>
      <c r="B37" s="17" t="s">
        <v>331</v>
      </c>
      <c r="AB37">
        <f t="shared" si="1"/>
        <v>0</v>
      </c>
    </row>
    <row r="38" spans="1:28" x14ac:dyDescent="0.25">
      <c r="AB38">
        <f t="shared" si="1"/>
        <v>0</v>
      </c>
    </row>
    <row r="39" spans="1:28" x14ac:dyDescent="0.25">
      <c r="A39" s="15" t="s">
        <v>430</v>
      </c>
      <c r="C39" s="12">
        <f>SUM(C40:C49)</f>
        <v>14</v>
      </c>
      <c r="D39" s="12">
        <f t="shared" ref="D39:AA39" si="5">SUM(D40:D49)</f>
        <v>35</v>
      </c>
      <c r="E39" s="12">
        <f t="shared" si="5"/>
        <v>17</v>
      </c>
      <c r="G39">
        <f t="shared" si="5"/>
        <v>0</v>
      </c>
      <c r="H39" s="12">
        <f t="shared" si="5"/>
        <v>17</v>
      </c>
      <c r="K39" s="12">
        <f t="shared" si="5"/>
        <v>3</v>
      </c>
      <c r="L39" s="12">
        <f t="shared" si="5"/>
        <v>13</v>
      </c>
      <c r="M39" s="12">
        <f t="shared" si="5"/>
        <v>14</v>
      </c>
      <c r="N39" s="12">
        <f t="shared" si="5"/>
        <v>27</v>
      </c>
      <c r="O39">
        <f t="shared" si="5"/>
        <v>29</v>
      </c>
      <c r="P39" s="12">
        <f t="shared" si="5"/>
        <v>32</v>
      </c>
      <c r="Q39" s="12">
        <f t="shared" si="5"/>
        <v>15</v>
      </c>
      <c r="R39" s="12">
        <f t="shared" si="5"/>
        <v>0</v>
      </c>
      <c r="S39" s="12">
        <f t="shared" si="5"/>
        <v>21</v>
      </c>
      <c r="T39">
        <f>SUM(T40:T49)</f>
        <v>0</v>
      </c>
      <c r="U39" s="12">
        <f t="shared" si="5"/>
        <v>16</v>
      </c>
      <c r="V39">
        <f t="shared" si="5"/>
        <v>0</v>
      </c>
      <c r="W39">
        <f t="shared" si="5"/>
        <v>1</v>
      </c>
      <c r="X39" s="12">
        <f t="shared" si="5"/>
        <v>12</v>
      </c>
      <c r="Y39" s="12">
        <f t="shared" si="5"/>
        <v>13</v>
      </c>
      <c r="Z39" s="12">
        <f>SUM(Z40,Z41,Z42,Z43,Z44,Z45,Z46,Z47,Z48,Z49)</f>
        <v>12</v>
      </c>
      <c r="AA39" s="12">
        <f t="shared" si="5"/>
        <v>16</v>
      </c>
      <c r="AB39">
        <f t="shared" si="1"/>
        <v>224</v>
      </c>
    </row>
    <row r="40" spans="1:28" x14ac:dyDescent="0.25">
      <c r="A40" s="15">
        <v>1</v>
      </c>
      <c r="B40" s="17" t="s">
        <v>332</v>
      </c>
      <c r="C40" s="12">
        <v>13</v>
      </c>
      <c r="D40" s="12">
        <v>13</v>
      </c>
      <c r="E40" s="12">
        <v>13</v>
      </c>
      <c r="F40" s="12">
        <v>13</v>
      </c>
      <c r="H40" s="12">
        <v>13</v>
      </c>
      <c r="I40" s="12">
        <v>13</v>
      </c>
      <c r="K40" s="12">
        <v>0</v>
      </c>
      <c r="L40" s="12">
        <v>13</v>
      </c>
      <c r="M40" s="12">
        <v>13</v>
      </c>
      <c r="N40" s="12">
        <v>2</v>
      </c>
      <c r="O40" s="12">
        <v>17</v>
      </c>
      <c r="P40" s="12">
        <v>13</v>
      </c>
      <c r="Q40" s="12">
        <v>13</v>
      </c>
      <c r="R40" s="12">
        <v>0</v>
      </c>
      <c r="S40" s="12">
        <v>13</v>
      </c>
      <c r="X40" s="12">
        <v>10</v>
      </c>
      <c r="Y40" s="12">
        <v>0</v>
      </c>
      <c r="Z40" s="12">
        <v>11</v>
      </c>
      <c r="AA40" s="12">
        <v>12</v>
      </c>
      <c r="AB40">
        <f t="shared" si="1"/>
        <v>117</v>
      </c>
    </row>
    <row r="41" spans="1:28" x14ac:dyDescent="0.25">
      <c r="A41" s="15">
        <v>2</v>
      </c>
      <c r="B41" s="17" t="s">
        <v>333</v>
      </c>
      <c r="C41" s="12">
        <v>1</v>
      </c>
      <c r="D41" s="12">
        <v>14</v>
      </c>
      <c r="E41" s="12">
        <v>1</v>
      </c>
      <c r="H41" s="12">
        <v>0</v>
      </c>
      <c r="I41" s="12">
        <v>4</v>
      </c>
      <c r="J41">
        <v>0</v>
      </c>
      <c r="K41" s="12">
        <v>0</v>
      </c>
      <c r="M41" s="12">
        <v>0</v>
      </c>
      <c r="N41" s="12">
        <v>1</v>
      </c>
      <c r="P41" s="12">
        <v>8</v>
      </c>
      <c r="Q41" s="12">
        <v>0</v>
      </c>
      <c r="R41" s="12">
        <v>0</v>
      </c>
      <c r="U41" s="12">
        <v>7</v>
      </c>
      <c r="Y41" s="12">
        <v>0</v>
      </c>
      <c r="AA41" s="12">
        <v>1</v>
      </c>
      <c r="AB41">
        <f t="shared" si="1"/>
        <v>17</v>
      </c>
    </row>
    <row r="42" spans="1:28" x14ac:dyDescent="0.25">
      <c r="A42" s="15">
        <v>3</v>
      </c>
      <c r="B42" s="17" t="s">
        <v>334</v>
      </c>
      <c r="I42">
        <v>1</v>
      </c>
      <c r="J42">
        <v>0</v>
      </c>
      <c r="N42" s="12">
        <v>0</v>
      </c>
      <c r="P42" s="12">
        <v>2</v>
      </c>
      <c r="R42" s="12">
        <v>0</v>
      </c>
      <c r="S42" s="12">
        <v>1</v>
      </c>
      <c r="U42" s="12">
        <v>1</v>
      </c>
      <c r="W42">
        <v>0</v>
      </c>
      <c r="X42" s="12">
        <v>2</v>
      </c>
      <c r="Y42" s="12">
        <v>0</v>
      </c>
      <c r="AA42" s="12">
        <v>1</v>
      </c>
      <c r="AB42">
        <f t="shared" si="1"/>
        <v>7</v>
      </c>
    </row>
    <row r="43" spans="1:28" x14ac:dyDescent="0.25">
      <c r="A43" s="15">
        <v>4</v>
      </c>
      <c r="B43" s="17" t="s">
        <v>335</v>
      </c>
      <c r="G43">
        <v>0</v>
      </c>
      <c r="H43" s="12">
        <v>0</v>
      </c>
      <c r="P43" s="12">
        <v>2</v>
      </c>
      <c r="X43" s="12">
        <v>0</v>
      </c>
      <c r="Y43" s="12">
        <v>0</v>
      </c>
      <c r="AB43">
        <f t="shared" si="1"/>
        <v>2</v>
      </c>
    </row>
    <row r="44" spans="1:28" x14ac:dyDescent="0.25">
      <c r="A44" s="15">
        <v>5</v>
      </c>
      <c r="B44" s="17" t="s">
        <v>336</v>
      </c>
      <c r="D44" s="12">
        <v>1</v>
      </c>
      <c r="G44">
        <v>0</v>
      </c>
      <c r="P44" s="12">
        <v>1</v>
      </c>
      <c r="W44">
        <v>1</v>
      </c>
      <c r="AA44" s="12">
        <v>1</v>
      </c>
      <c r="AB44">
        <f t="shared" si="1"/>
        <v>3</v>
      </c>
    </row>
    <row r="45" spans="1:28" x14ac:dyDescent="0.25">
      <c r="A45" s="15">
        <v>6</v>
      </c>
      <c r="B45" s="17" t="s">
        <v>337</v>
      </c>
      <c r="C45" s="12">
        <v>0</v>
      </c>
      <c r="D45" s="12">
        <v>0</v>
      </c>
      <c r="E45" s="12">
        <v>0</v>
      </c>
      <c r="G45">
        <v>0</v>
      </c>
      <c r="H45" s="12">
        <v>0</v>
      </c>
      <c r="I45" s="12">
        <v>1</v>
      </c>
      <c r="K45" s="12">
        <v>1</v>
      </c>
      <c r="M45" s="12">
        <v>0</v>
      </c>
      <c r="P45" s="12">
        <v>1</v>
      </c>
      <c r="Q45" s="12">
        <v>0</v>
      </c>
      <c r="AB45">
        <f t="shared" si="1"/>
        <v>2</v>
      </c>
    </row>
    <row r="46" spans="1:28" x14ac:dyDescent="0.25">
      <c r="A46" s="15">
        <v>7</v>
      </c>
      <c r="B46" s="17" t="s">
        <v>338</v>
      </c>
      <c r="C46" s="12">
        <v>0</v>
      </c>
      <c r="D46" s="12">
        <v>5</v>
      </c>
      <c r="E46" s="12">
        <v>2</v>
      </c>
      <c r="H46" s="12">
        <v>0</v>
      </c>
      <c r="I46" s="12">
        <v>1</v>
      </c>
      <c r="K46" s="12">
        <v>1</v>
      </c>
      <c r="M46" s="12">
        <v>1</v>
      </c>
      <c r="N46" s="12">
        <v>0</v>
      </c>
      <c r="P46" s="12">
        <v>3</v>
      </c>
      <c r="Q46" s="12">
        <v>1</v>
      </c>
      <c r="R46" s="12">
        <v>0</v>
      </c>
      <c r="S46" s="12">
        <v>1</v>
      </c>
      <c r="V46">
        <v>0</v>
      </c>
      <c r="X46" s="12">
        <v>0</v>
      </c>
      <c r="Z46" s="12">
        <v>0</v>
      </c>
      <c r="AB46">
        <f t="shared" si="1"/>
        <v>7</v>
      </c>
    </row>
    <row r="47" spans="1:28" x14ac:dyDescent="0.25">
      <c r="A47" s="15">
        <v>8</v>
      </c>
      <c r="B47" s="17" t="s">
        <v>339</v>
      </c>
      <c r="C47" s="12">
        <v>0</v>
      </c>
      <c r="D47" s="12">
        <v>1</v>
      </c>
      <c r="E47" s="12">
        <v>0</v>
      </c>
      <c r="F47" s="12">
        <v>2</v>
      </c>
      <c r="G47">
        <v>0</v>
      </c>
      <c r="H47" s="12">
        <v>4</v>
      </c>
      <c r="K47" s="12">
        <v>1</v>
      </c>
      <c r="M47" s="12">
        <v>0</v>
      </c>
      <c r="N47" s="12">
        <v>1</v>
      </c>
      <c r="O47">
        <v>0</v>
      </c>
      <c r="P47" s="12">
        <v>2</v>
      </c>
      <c r="R47" s="12">
        <v>0</v>
      </c>
      <c r="AB47">
        <f t="shared" si="1"/>
        <v>4</v>
      </c>
    </row>
    <row r="48" spans="1:28" x14ac:dyDescent="0.25">
      <c r="A48" s="15">
        <v>9</v>
      </c>
      <c r="B48" s="17" t="s">
        <v>340</v>
      </c>
      <c r="D48" s="12">
        <v>0</v>
      </c>
      <c r="K48" s="12">
        <v>0</v>
      </c>
      <c r="N48" s="12">
        <v>11</v>
      </c>
      <c r="Q48" s="12">
        <v>1</v>
      </c>
      <c r="X48" s="12">
        <v>0</v>
      </c>
      <c r="Y48" s="12">
        <v>0</v>
      </c>
      <c r="AB48">
        <f t="shared" si="1"/>
        <v>12</v>
      </c>
    </row>
    <row r="49" spans="1:28" x14ac:dyDescent="0.25">
      <c r="A49" s="15">
        <v>10</v>
      </c>
      <c r="B49" s="17" t="s">
        <v>341</v>
      </c>
      <c r="C49" s="12">
        <v>0</v>
      </c>
      <c r="D49" s="12">
        <v>1</v>
      </c>
      <c r="E49" s="12">
        <v>1</v>
      </c>
      <c r="K49" s="12">
        <v>0</v>
      </c>
      <c r="L49" s="12">
        <v>0</v>
      </c>
      <c r="N49" s="12">
        <v>12</v>
      </c>
      <c r="O49" s="12">
        <v>12</v>
      </c>
      <c r="R49" s="12">
        <v>0</v>
      </c>
      <c r="S49" s="12">
        <v>6</v>
      </c>
      <c r="U49" s="12">
        <v>8</v>
      </c>
      <c r="Y49" s="12">
        <v>13</v>
      </c>
      <c r="Z49" s="12">
        <v>1</v>
      </c>
      <c r="AA49" s="12">
        <v>1</v>
      </c>
      <c r="AB49">
        <f t="shared" si="1"/>
        <v>53</v>
      </c>
    </row>
    <row r="50" spans="1:28" x14ac:dyDescent="0.25">
      <c r="P50" s="12">
        <v>0</v>
      </c>
      <c r="AB50">
        <f t="shared" si="1"/>
        <v>0</v>
      </c>
    </row>
    <row r="51" spans="1:28" x14ac:dyDescent="0.25">
      <c r="A51" s="15" t="s">
        <v>431</v>
      </c>
      <c r="C51" s="12">
        <f>SUM(C52:C61)</f>
        <v>33</v>
      </c>
      <c r="D51" s="12">
        <f t="shared" ref="D51:AA51" si="6">SUM(D52:D61)</f>
        <v>19</v>
      </c>
      <c r="E51" s="12">
        <f t="shared" si="6"/>
        <v>13</v>
      </c>
      <c r="F51" s="12">
        <f t="shared" si="6"/>
        <v>2</v>
      </c>
      <c r="G51">
        <f t="shared" si="6"/>
        <v>0</v>
      </c>
      <c r="H51" s="12">
        <f t="shared" si="6"/>
        <v>29</v>
      </c>
      <c r="I51">
        <f t="shared" si="6"/>
        <v>16</v>
      </c>
      <c r="J51">
        <f t="shared" si="6"/>
        <v>0</v>
      </c>
      <c r="K51" s="12">
        <f t="shared" si="6"/>
        <v>19</v>
      </c>
      <c r="L51" s="12">
        <f t="shared" si="6"/>
        <v>12</v>
      </c>
      <c r="M51" s="12">
        <f t="shared" si="6"/>
        <v>6</v>
      </c>
      <c r="N51" s="12">
        <f t="shared" si="6"/>
        <v>26</v>
      </c>
      <c r="O51">
        <f t="shared" si="6"/>
        <v>34</v>
      </c>
      <c r="P51" s="12">
        <f t="shared" si="6"/>
        <v>41</v>
      </c>
      <c r="Q51" s="12">
        <f t="shared" si="6"/>
        <v>58</v>
      </c>
      <c r="R51" s="12">
        <f t="shared" si="6"/>
        <v>16</v>
      </c>
      <c r="S51" s="12">
        <f t="shared" si="6"/>
        <v>12</v>
      </c>
      <c r="T51">
        <f t="shared" si="6"/>
        <v>0</v>
      </c>
      <c r="U51" s="12">
        <f t="shared" si="6"/>
        <v>70</v>
      </c>
      <c r="W51">
        <f>SUM(W52:W61)</f>
        <v>8</v>
      </c>
      <c r="X51" s="12">
        <v>0</v>
      </c>
      <c r="Y51" s="12">
        <f t="shared" si="6"/>
        <v>2</v>
      </c>
      <c r="Z51" s="12">
        <f>SUM(Z52,Z53,Z54,Z55,Z56,Z57,Z58,Z59,Z60,Z61)</f>
        <v>8</v>
      </c>
      <c r="AA51" s="12">
        <f t="shared" si="6"/>
        <v>1</v>
      </c>
      <c r="AB51">
        <f t="shared" si="1"/>
        <v>313</v>
      </c>
    </row>
    <row r="52" spans="1:28" x14ac:dyDescent="0.25">
      <c r="A52" s="15">
        <v>1</v>
      </c>
      <c r="B52" s="17" t="s">
        <v>342</v>
      </c>
      <c r="C52" s="12">
        <v>15</v>
      </c>
      <c r="D52" s="12">
        <v>6</v>
      </c>
      <c r="E52" s="12">
        <v>0</v>
      </c>
      <c r="F52" s="12">
        <v>2</v>
      </c>
      <c r="H52" s="12">
        <v>3</v>
      </c>
      <c r="I52" s="12">
        <v>3</v>
      </c>
      <c r="K52" s="12">
        <v>9</v>
      </c>
      <c r="L52" s="12">
        <v>3</v>
      </c>
      <c r="M52" s="12">
        <v>1</v>
      </c>
      <c r="N52" s="12">
        <v>1</v>
      </c>
      <c r="O52" s="12">
        <v>8</v>
      </c>
      <c r="P52" s="12">
        <v>6</v>
      </c>
      <c r="Q52" s="12">
        <v>20</v>
      </c>
      <c r="R52" s="12">
        <v>13</v>
      </c>
      <c r="S52" s="12">
        <v>3</v>
      </c>
      <c r="U52" s="12">
        <v>16</v>
      </c>
      <c r="X52" s="12">
        <v>2</v>
      </c>
      <c r="Y52" s="12">
        <v>0</v>
      </c>
      <c r="Z52" s="12">
        <v>7</v>
      </c>
      <c r="AA52" s="12">
        <v>0</v>
      </c>
      <c r="AB52">
        <f t="shared" si="1"/>
        <v>89</v>
      </c>
    </row>
    <row r="53" spans="1:28" x14ac:dyDescent="0.25">
      <c r="A53" s="15">
        <v>2</v>
      </c>
      <c r="B53" s="17" t="s">
        <v>343</v>
      </c>
      <c r="C53" s="12">
        <v>0</v>
      </c>
      <c r="D53" s="12">
        <v>0</v>
      </c>
      <c r="H53" s="12">
        <v>0</v>
      </c>
      <c r="K53" s="12">
        <v>0</v>
      </c>
      <c r="N53" s="12">
        <v>0</v>
      </c>
      <c r="O53">
        <v>1</v>
      </c>
      <c r="P53" s="12">
        <v>3</v>
      </c>
      <c r="Q53" s="12">
        <v>16</v>
      </c>
      <c r="T53">
        <v>0</v>
      </c>
      <c r="U53" s="12">
        <v>6</v>
      </c>
      <c r="X53" s="12">
        <v>0</v>
      </c>
      <c r="Y53" s="12">
        <v>0</v>
      </c>
      <c r="Z53" s="12">
        <v>1</v>
      </c>
      <c r="AB53">
        <f t="shared" si="1"/>
        <v>27</v>
      </c>
    </row>
    <row r="54" spans="1:28" x14ac:dyDescent="0.25">
      <c r="A54" s="15">
        <v>3</v>
      </c>
      <c r="B54" s="17" t="s">
        <v>344</v>
      </c>
      <c r="N54" s="12">
        <v>0</v>
      </c>
      <c r="O54">
        <v>0</v>
      </c>
      <c r="AB54">
        <f t="shared" si="1"/>
        <v>0</v>
      </c>
    </row>
    <row r="55" spans="1:28" x14ac:dyDescent="0.25">
      <c r="A55" s="15">
        <v>4</v>
      </c>
      <c r="B55" s="17" t="s">
        <v>345</v>
      </c>
      <c r="C55" s="12">
        <v>2</v>
      </c>
      <c r="H55" s="12">
        <v>0</v>
      </c>
      <c r="AB55">
        <f t="shared" si="1"/>
        <v>0</v>
      </c>
    </row>
    <row r="56" spans="1:28" x14ac:dyDescent="0.25">
      <c r="A56" s="15">
        <v>5</v>
      </c>
      <c r="B56" s="17" t="s">
        <v>346</v>
      </c>
      <c r="D56" s="12">
        <v>0</v>
      </c>
      <c r="G56">
        <v>0</v>
      </c>
      <c r="I56">
        <v>7</v>
      </c>
      <c r="O56">
        <v>12</v>
      </c>
      <c r="P56" s="12">
        <v>13</v>
      </c>
      <c r="S56" s="12">
        <v>4</v>
      </c>
      <c r="W56">
        <v>5</v>
      </c>
      <c r="AB56">
        <f t="shared" si="1"/>
        <v>34</v>
      </c>
    </row>
    <row r="57" spans="1:28" x14ac:dyDescent="0.25">
      <c r="A57" s="15">
        <v>6</v>
      </c>
      <c r="B57" s="17" t="s">
        <v>347</v>
      </c>
      <c r="H57" s="12">
        <v>0</v>
      </c>
      <c r="Y57" s="12">
        <v>0</v>
      </c>
      <c r="AB57">
        <f t="shared" si="1"/>
        <v>0</v>
      </c>
    </row>
    <row r="58" spans="1:28" x14ac:dyDescent="0.25">
      <c r="A58" s="15">
        <v>7</v>
      </c>
      <c r="B58" s="17" t="s">
        <v>348</v>
      </c>
      <c r="C58" s="12">
        <v>14</v>
      </c>
      <c r="D58" s="12">
        <v>13</v>
      </c>
      <c r="E58" s="12">
        <v>13</v>
      </c>
      <c r="H58" s="12">
        <v>18</v>
      </c>
      <c r="I58" s="12">
        <v>4</v>
      </c>
      <c r="K58" s="12">
        <v>10</v>
      </c>
      <c r="L58" s="12">
        <v>9</v>
      </c>
      <c r="M58" s="12">
        <v>5</v>
      </c>
      <c r="N58" s="12">
        <v>11</v>
      </c>
      <c r="O58">
        <v>12</v>
      </c>
      <c r="P58" s="12">
        <v>14</v>
      </c>
      <c r="Q58" s="12">
        <v>17</v>
      </c>
      <c r="R58" s="12">
        <v>3</v>
      </c>
      <c r="S58" s="12">
        <v>5</v>
      </c>
      <c r="U58" s="12">
        <v>30</v>
      </c>
      <c r="W58">
        <v>3</v>
      </c>
      <c r="X58" s="12">
        <v>1</v>
      </c>
      <c r="Y58" s="12">
        <v>2</v>
      </c>
      <c r="AA58" s="12">
        <v>1</v>
      </c>
      <c r="AB58">
        <f t="shared" si="1"/>
        <v>123</v>
      </c>
    </row>
    <row r="59" spans="1:28" x14ac:dyDescent="0.25">
      <c r="A59" s="15">
        <v>8</v>
      </c>
      <c r="B59" s="17" t="s">
        <v>349</v>
      </c>
      <c r="C59" s="12">
        <v>2</v>
      </c>
      <c r="E59" s="12">
        <v>0</v>
      </c>
      <c r="G59">
        <v>0</v>
      </c>
      <c r="H59" s="12">
        <v>0</v>
      </c>
      <c r="I59" s="12">
        <v>2</v>
      </c>
      <c r="N59" s="12">
        <v>0</v>
      </c>
      <c r="P59" s="12">
        <v>1</v>
      </c>
      <c r="Q59" s="12">
        <v>3</v>
      </c>
      <c r="U59" s="12">
        <v>6</v>
      </c>
      <c r="Z59" s="12">
        <v>0</v>
      </c>
      <c r="AA59" s="12">
        <v>0</v>
      </c>
      <c r="AB59">
        <f t="shared" si="1"/>
        <v>10</v>
      </c>
    </row>
    <row r="60" spans="1:28" x14ac:dyDescent="0.25">
      <c r="A60" s="15">
        <v>9</v>
      </c>
      <c r="B60" s="17" t="s">
        <v>350</v>
      </c>
      <c r="C60" s="12">
        <v>0</v>
      </c>
      <c r="E60" s="12">
        <v>0</v>
      </c>
      <c r="H60" s="12">
        <v>2</v>
      </c>
      <c r="N60" s="12">
        <v>3</v>
      </c>
      <c r="P60" s="12">
        <v>3</v>
      </c>
      <c r="Q60" s="12">
        <v>1</v>
      </c>
      <c r="U60" s="12">
        <v>5</v>
      </c>
      <c r="AB60">
        <f t="shared" si="1"/>
        <v>12</v>
      </c>
    </row>
    <row r="61" spans="1:28" x14ac:dyDescent="0.25">
      <c r="A61" s="15">
        <v>10</v>
      </c>
      <c r="B61" s="17" t="s">
        <v>351</v>
      </c>
      <c r="C61" s="12">
        <v>0</v>
      </c>
      <c r="E61" s="12">
        <v>0</v>
      </c>
      <c r="G61">
        <v>0</v>
      </c>
      <c r="H61" s="12">
        <v>6</v>
      </c>
      <c r="N61" s="12">
        <v>11</v>
      </c>
      <c r="O61">
        <v>1</v>
      </c>
      <c r="P61" s="12">
        <v>1</v>
      </c>
      <c r="Q61" s="12">
        <v>1</v>
      </c>
      <c r="U61" s="12">
        <v>7</v>
      </c>
      <c r="AB61">
        <f t="shared" si="1"/>
        <v>21</v>
      </c>
    </row>
    <row r="62" spans="1:28" x14ac:dyDescent="0.25">
      <c r="A62" s="16"/>
      <c r="B62" s="17"/>
      <c r="AB62">
        <f t="shared" si="1"/>
        <v>0</v>
      </c>
    </row>
    <row r="63" spans="1:28" x14ac:dyDescent="0.25">
      <c r="A63" s="10" t="s">
        <v>352</v>
      </c>
      <c r="AB63">
        <f t="shared" si="1"/>
        <v>0</v>
      </c>
    </row>
    <row r="64" spans="1:28" ht="30" x14ac:dyDescent="0.25">
      <c r="A64" s="15">
        <v>1</v>
      </c>
      <c r="B64" s="17" t="s">
        <v>353</v>
      </c>
      <c r="C64" s="12">
        <v>70</v>
      </c>
      <c r="E64" s="12">
        <v>74</v>
      </c>
      <c r="F64" s="12">
        <v>30</v>
      </c>
      <c r="H64" s="12">
        <v>111</v>
      </c>
      <c r="K64" s="12">
        <v>52</v>
      </c>
      <c r="M64" s="12">
        <v>120</v>
      </c>
      <c r="N64" s="12">
        <v>30</v>
      </c>
      <c r="O64" s="12">
        <v>66</v>
      </c>
      <c r="R64" s="12">
        <v>40</v>
      </c>
      <c r="S64" s="12">
        <v>30</v>
      </c>
      <c r="U64" s="12">
        <v>48</v>
      </c>
      <c r="W64" s="12">
        <v>36</v>
      </c>
      <c r="X64" s="12">
        <v>20</v>
      </c>
      <c r="Y64" s="12">
        <v>28</v>
      </c>
      <c r="Z64" s="12">
        <v>19</v>
      </c>
      <c r="AA64" s="12">
        <v>103</v>
      </c>
      <c r="AB64">
        <f t="shared" si="1"/>
        <v>592</v>
      </c>
    </row>
    <row r="65" spans="1:28" x14ac:dyDescent="0.25">
      <c r="A65" s="15">
        <v>2</v>
      </c>
      <c r="B65" s="17" t="s">
        <v>354</v>
      </c>
      <c r="C65" s="12">
        <v>0</v>
      </c>
      <c r="D65" s="12">
        <v>0</v>
      </c>
      <c r="E65" s="12">
        <v>0</v>
      </c>
      <c r="G65">
        <v>0</v>
      </c>
      <c r="H65" s="12">
        <v>0</v>
      </c>
      <c r="K65" s="12">
        <v>0</v>
      </c>
      <c r="M65" s="12">
        <v>0</v>
      </c>
      <c r="N65" s="12">
        <v>0</v>
      </c>
      <c r="O65">
        <v>0</v>
      </c>
      <c r="P65" s="12">
        <v>320</v>
      </c>
      <c r="Q65" s="12">
        <v>0</v>
      </c>
      <c r="R65" s="12">
        <v>0</v>
      </c>
      <c r="S65" s="12">
        <v>0</v>
      </c>
      <c r="X65" s="12">
        <v>0</v>
      </c>
      <c r="Y65" s="12">
        <v>0</v>
      </c>
      <c r="AB65">
        <f t="shared" si="1"/>
        <v>320</v>
      </c>
    </row>
    <row r="66" spans="1:28" x14ac:dyDescent="0.25">
      <c r="A66" s="15">
        <v>3</v>
      </c>
      <c r="B66" s="17" t="s">
        <v>395</v>
      </c>
      <c r="C66" s="12">
        <v>0</v>
      </c>
      <c r="D66" s="12">
        <v>0</v>
      </c>
      <c r="E66" s="12">
        <v>0</v>
      </c>
      <c r="G66">
        <v>0</v>
      </c>
      <c r="H66" s="12">
        <v>0</v>
      </c>
      <c r="J66">
        <v>0</v>
      </c>
      <c r="K66" s="12">
        <v>0</v>
      </c>
      <c r="L66" s="12">
        <v>8</v>
      </c>
      <c r="M66" s="12">
        <v>0</v>
      </c>
      <c r="N66" s="12">
        <v>0</v>
      </c>
      <c r="O66">
        <v>0</v>
      </c>
      <c r="P66" s="12">
        <v>0</v>
      </c>
      <c r="Q66" s="12">
        <v>0</v>
      </c>
      <c r="R66" s="12">
        <v>0</v>
      </c>
      <c r="S66" s="12">
        <v>0</v>
      </c>
      <c r="V66">
        <v>0</v>
      </c>
      <c r="X66" s="12">
        <v>0</v>
      </c>
      <c r="Y66" s="12">
        <v>0</v>
      </c>
      <c r="AB66">
        <f t="shared" si="1"/>
        <v>8</v>
      </c>
    </row>
    <row r="67" spans="1:28" x14ac:dyDescent="0.25">
      <c r="A67" s="15">
        <v>4</v>
      </c>
      <c r="B67" s="17" t="s">
        <v>356</v>
      </c>
      <c r="C67" s="12">
        <v>50</v>
      </c>
      <c r="D67" s="12">
        <v>205</v>
      </c>
      <c r="E67" s="12">
        <v>68</v>
      </c>
      <c r="F67" s="12">
        <v>62</v>
      </c>
      <c r="G67">
        <v>0</v>
      </c>
      <c r="H67" s="12">
        <v>20</v>
      </c>
      <c r="K67" s="12">
        <v>57</v>
      </c>
      <c r="L67" s="12">
        <v>8</v>
      </c>
      <c r="M67" s="12">
        <v>0</v>
      </c>
      <c r="O67" s="12">
        <v>49</v>
      </c>
      <c r="P67" s="12">
        <v>110</v>
      </c>
      <c r="Q67" s="12">
        <v>17</v>
      </c>
      <c r="R67" s="12">
        <v>0</v>
      </c>
      <c r="S67" s="12">
        <v>27</v>
      </c>
      <c r="U67" s="12">
        <v>20</v>
      </c>
      <c r="X67" s="12">
        <v>28</v>
      </c>
      <c r="Y67" s="12">
        <v>30</v>
      </c>
      <c r="Z67" s="12">
        <v>0</v>
      </c>
      <c r="AA67" s="12">
        <v>80</v>
      </c>
      <c r="AB67">
        <f t="shared" si="1"/>
        <v>426</v>
      </c>
    </row>
    <row r="68" spans="1:28" x14ac:dyDescent="0.25">
      <c r="A68" s="15">
        <v>5</v>
      </c>
      <c r="B68" s="17" t="s">
        <v>357</v>
      </c>
      <c r="C68" s="12">
        <v>50</v>
      </c>
      <c r="D68" s="12">
        <v>225</v>
      </c>
      <c r="E68" s="12">
        <v>76</v>
      </c>
      <c r="F68" s="12">
        <v>26</v>
      </c>
      <c r="H68" s="12">
        <v>30</v>
      </c>
      <c r="I68" s="12">
        <v>30</v>
      </c>
      <c r="K68" s="12">
        <v>31</v>
      </c>
      <c r="L68" s="12">
        <v>12</v>
      </c>
      <c r="M68" s="12">
        <v>0</v>
      </c>
      <c r="O68" s="12">
        <v>32</v>
      </c>
      <c r="P68" s="12">
        <v>120</v>
      </c>
      <c r="Q68" s="12">
        <v>15</v>
      </c>
      <c r="R68" s="12">
        <v>28</v>
      </c>
      <c r="S68" s="12">
        <v>25</v>
      </c>
      <c r="U68" s="12">
        <v>17</v>
      </c>
      <c r="Y68" s="12">
        <v>0</v>
      </c>
      <c r="Z68" s="12">
        <v>0</v>
      </c>
      <c r="AA68" s="12">
        <v>30</v>
      </c>
      <c r="AB68">
        <f t="shared" ref="AB68:AB104" si="7">SUM(K68:AA68)</f>
        <v>310</v>
      </c>
    </row>
    <row r="69" spans="1:28" x14ac:dyDescent="0.25">
      <c r="A69" s="15">
        <v>6</v>
      </c>
      <c r="B69" s="17" t="s">
        <v>358</v>
      </c>
      <c r="C69" s="12">
        <v>82</v>
      </c>
      <c r="E69" s="12">
        <v>156</v>
      </c>
      <c r="H69" s="12">
        <v>0</v>
      </c>
      <c r="I69" s="12">
        <v>65</v>
      </c>
      <c r="K69" s="12">
        <v>52</v>
      </c>
      <c r="L69" s="12">
        <v>7</v>
      </c>
      <c r="M69" s="12">
        <v>0</v>
      </c>
      <c r="N69" s="12">
        <v>25</v>
      </c>
      <c r="O69" s="12">
        <v>42</v>
      </c>
      <c r="P69" s="12">
        <v>200</v>
      </c>
      <c r="Q69" s="12">
        <v>23</v>
      </c>
      <c r="R69" s="12">
        <v>34</v>
      </c>
      <c r="S69" s="12">
        <v>20</v>
      </c>
      <c r="U69" s="12">
        <v>53</v>
      </c>
      <c r="X69" s="12">
        <v>12</v>
      </c>
      <c r="Y69" s="12">
        <v>33</v>
      </c>
      <c r="Z69" s="12">
        <v>26</v>
      </c>
      <c r="AA69" s="12">
        <v>35</v>
      </c>
      <c r="AB69">
        <f t="shared" si="7"/>
        <v>562</v>
      </c>
    </row>
    <row r="70" spans="1:28" x14ac:dyDescent="0.25">
      <c r="A70" s="15">
        <v>7</v>
      </c>
      <c r="B70" s="17" t="s">
        <v>359</v>
      </c>
      <c r="C70" s="12">
        <v>0</v>
      </c>
      <c r="D70" s="12">
        <v>109</v>
      </c>
      <c r="E70" s="12">
        <v>0</v>
      </c>
      <c r="F70" s="12">
        <v>40</v>
      </c>
      <c r="H70" s="12">
        <v>0</v>
      </c>
      <c r="K70" s="12">
        <v>51</v>
      </c>
      <c r="L70" s="12">
        <v>0</v>
      </c>
      <c r="M70" s="12">
        <v>0</v>
      </c>
      <c r="N70" s="12">
        <v>35</v>
      </c>
      <c r="O70" s="12">
        <v>110</v>
      </c>
      <c r="P70" s="12">
        <v>100</v>
      </c>
      <c r="Q70" s="12">
        <v>25</v>
      </c>
      <c r="R70" s="12">
        <v>0</v>
      </c>
      <c r="S70" s="12">
        <v>0</v>
      </c>
      <c r="U70" s="12">
        <v>55</v>
      </c>
      <c r="Y70" s="12">
        <v>15</v>
      </c>
      <c r="Z70" s="12">
        <v>58</v>
      </c>
      <c r="AA70" s="12">
        <v>0</v>
      </c>
      <c r="AB70">
        <f t="shared" si="7"/>
        <v>449</v>
      </c>
    </row>
    <row r="71" spans="1:28" x14ac:dyDescent="0.25">
      <c r="A71" s="15">
        <v>8</v>
      </c>
      <c r="B71" s="17" t="s">
        <v>360</v>
      </c>
      <c r="D71" s="12">
        <v>0</v>
      </c>
      <c r="E71" s="12">
        <v>0</v>
      </c>
      <c r="H71" s="12">
        <v>0</v>
      </c>
      <c r="L71" s="12">
        <v>0</v>
      </c>
      <c r="M71" s="12">
        <v>0</v>
      </c>
      <c r="O71" s="12">
        <v>48</v>
      </c>
      <c r="P71" s="12">
        <v>120</v>
      </c>
      <c r="R71" s="12">
        <v>0</v>
      </c>
      <c r="S71" s="12">
        <v>0</v>
      </c>
      <c r="Z71" s="12">
        <v>0</v>
      </c>
      <c r="AA71" s="12">
        <v>0</v>
      </c>
      <c r="AB71">
        <f t="shared" si="7"/>
        <v>168</v>
      </c>
    </row>
    <row r="72" spans="1:28" x14ac:dyDescent="0.25">
      <c r="A72" s="15">
        <v>9</v>
      </c>
      <c r="B72" s="17" t="s">
        <v>361</v>
      </c>
      <c r="C72" s="12">
        <v>0</v>
      </c>
      <c r="D72" s="12">
        <v>0</v>
      </c>
      <c r="E72" s="12">
        <v>0</v>
      </c>
      <c r="H72" s="12">
        <v>0</v>
      </c>
      <c r="K72" s="12">
        <v>40</v>
      </c>
      <c r="M72" s="12">
        <v>0</v>
      </c>
      <c r="O72" s="12">
        <v>45</v>
      </c>
      <c r="P72" s="12">
        <v>0</v>
      </c>
      <c r="R72" s="12">
        <v>0</v>
      </c>
      <c r="Z72" s="12">
        <v>15</v>
      </c>
      <c r="AA72" s="12">
        <v>0</v>
      </c>
      <c r="AB72">
        <f t="shared" si="7"/>
        <v>100</v>
      </c>
    </row>
    <row r="73" spans="1:28" x14ac:dyDescent="0.25">
      <c r="A73" s="15">
        <v>10</v>
      </c>
      <c r="B73" s="17" t="s">
        <v>362</v>
      </c>
      <c r="C73" s="12">
        <v>0</v>
      </c>
      <c r="H73" s="12">
        <v>0</v>
      </c>
      <c r="K73" s="12">
        <v>81</v>
      </c>
      <c r="L73" s="12">
        <v>0</v>
      </c>
      <c r="M73" s="12">
        <v>0</v>
      </c>
      <c r="N73" s="12">
        <v>0</v>
      </c>
      <c r="O73" s="12">
        <v>70</v>
      </c>
      <c r="P73" s="12">
        <v>0</v>
      </c>
      <c r="R73" s="12">
        <v>0</v>
      </c>
      <c r="S73" s="12">
        <v>0</v>
      </c>
      <c r="Z73" s="12">
        <v>15</v>
      </c>
      <c r="AB73">
        <f t="shared" si="7"/>
        <v>166</v>
      </c>
    </row>
    <row r="74" spans="1:28" x14ac:dyDescent="0.25">
      <c r="A74" s="15">
        <v>11</v>
      </c>
      <c r="B74" s="17" t="s">
        <v>363</v>
      </c>
      <c r="K74" s="12">
        <v>0</v>
      </c>
      <c r="Y74" s="12">
        <v>0</v>
      </c>
      <c r="AB74">
        <f t="shared" si="7"/>
        <v>0</v>
      </c>
    </row>
    <row r="75" spans="1:28" x14ac:dyDescent="0.25">
      <c r="A75" s="15">
        <v>12</v>
      </c>
      <c r="B75" s="17" t="s">
        <v>364</v>
      </c>
      <c r="D75" s="12">
        <v>81</v>
      </c>
      <c r="E75" s="12">
        <v>0</v>
      </c>
      <c r="H75" s="12">
        <v>0</v>
      </c>
      <c r="K75" s="12">
        <v>0</v>
      </c>
      <c r="M75" s="12">
        <v>0</v>
      </c>
      <c r="N75" s="12">
        <v>67</v>
      </c>
      <c r="Q75" s="12">
        <v>0</v>
      </c>
      <c r="R75" s="12">
        <v>0</v>
      </c>
      <c r="X75" s="12">
        <v>0</v>
      </c>
      <c r="AB75">
        <f t="shared" si="7"/>
        <v>67</v>
      </c>
    </row>
    <row r="76" spans="1:28" x14ac:dyDescent="0.25">
      <c r="AB76">
        <f t="shared" si="7"/>
        <v>0</v>
      </c>
    </row>
    <row r="77" spans="1:28" x14ac:dyDescent="0.25">
      <c r="A77" s="10" t="s">
        <v>365</v>
      </c>
      <c r="C77" s="12">
        <f>SUM(C78,C82)</f>
        <v>0</v>
      </c>
      <c r="D77" s="12">
        <f t="shared" ref="D77:AA77" si="8">SUM(D78,D82)</f>
        <v>2</v>
      </c>
      <c r="E77" s="12">
        <f t="shared" si="8"/>
        <v>1</v>
      </c>
      <c r="H77" s="12">
        <f t="shared" si="8"/>
        <v>2</v>
      </c>
      <c r="K77" s="12">
        <f t="shared" si="8"/>
        <v>0</v>
      </c>
      <c r="L77" s="12">
        <f t="shared" si="8"/>
        <v>1</v>
      </c>
      <c r="M77" s="12">
        <f t="shared" si="8"/>
        <v>0</v>
      </c>
      <c r="N77" s="12">
        <f t="shared" si="8"/>
        <v>0</v>
      </c>
      <c r="O77">
        <f t="shared" si="8"/>
        <v>0</v>
      </c>
      <c r="P77" s="12">
        <f t="shared" si="8"/>
        <v>0</v>
      </c>
      <c r="Q77" s="12">
        <f t="shared" si="8"/>
        <v>2</v>
      </c>
      <c r="R77" s="12">
        <f t="shared" si="8"/>
        <v>1</v>
      </c>
      <c r="S77" s="12">
        <f t="shared" si="8"/>
        <v>1</v>
      </c>
      <c r="T77">
        <f t="shared" si="8"/>
        <v>0</v>
      </c>
      <c r="U77" s="12">
        <f t="shared" si="8"/>
        <v>2</v>
      </c>
      <c r="V77">
        <f t="shared" si="8"/>
        <v>0</v>
      </c>
      <c r="W77">
        <f t="shared" si="8"/>
        <v>1</v>
      </c>
      <c r="X77" s="12">
        <f t="shared" si="8"/>
        <v>1</v>
      </c>
      <c r="Y77" s="12">
        <v>0</v>
      </c>
      <c r="AA77" s="12">
        <f t="shared" si="8"/>
        <v>1</v>
      </c>
      <c r="AB77">
        <f t="shared" si="7"/>
        <v>10</v>
      </c>
    </row>
    <row r="78" spans="1:28" x14ac:dyDescent="0.25">
      <c r="A78" s="15">
        <v>1</v>
      </c>
      <c r="B78" s="17" t="s">
        <v>366</v>
      </c>
      <c r="C78" s="12">
        <v>0</v>
      </c>
      <c r="D78" s="12">
        <v>1</v>
      </c>
      <c r="E78" s="12">
        <v>1</v>
      </c>
      <c r="F78" s="12">
        <v>1</v>
      </c>
      <c r="G78">
        <f>SUM(G79:G81)</f>
        <v>0</v>
      </c>
      <c r="H78" s="12">
        <f>SUM(H79,H80,H81)</f>
        <v>2</v>
      </c>
      <c r="K78" s="12">
        <v>0</v>
      </c>
      <c r="L78" s="12">
        <f t="shared" ref="L78:U78" si="9">SUM(L79:L81)</f>
        <v>1</v>
      </c>
      <c r="M78" s="12">
        <f t="shared" si="9"/>
        <v>0</v>
      </c>
      <c r="N78" s="12">
        <v>0</v>
      </c>
      <c r="O78">
        <f t="shared" si="9"/>
        <v>0</v>
      </c>
      <c r="P78" s="12">
        <v>0</v>
      </c>
      <c r="Q78" s="12">
        <f t="shared" si="9"/>
        <v>2</v>
      </c>
      <c r="R78" s="12">
        <v>1</v>
      </c>
      <c r="S78" s="12">
        <v>1</v>
      </c>
      <c r="T78">
        <f t="shared" si="9"/>
        <v>0</v>
      </c>
      <c r="U78" s="12">
        <f t="shared" si="9"/>
        <v>1</v>
      </c>
      <c r="V78">
        <v>0</v>
      </c>
      <c r="W78" s="12">
        <v>1</v>
      </c>
      <c r="X78" s="12">
        <v>1</v>
      </c>
      <c r="Y78" s="12">
        <v>0</v>
      </c>
      <c r="AA78" s="12">
        <v>1</v>
      </c>
      <c r="AB78">
        <f t="shared" si="7"/>
        <v>9</v>
      </c>
    </row>
    <row r="79" spans="1:28" x14ac:dyDescent="0.25">
      <c r="A79" s="15">
        <v>1.1000000000000001</v>
      </c>
      <c r="B79" s="17" t="s">
        <v>367</v>
      </c>
      <c r="C79" s="12">
        <v>0</v>
      </c>
      <c r="D79" s="12">
        <v>1</v>
      </c>
      <c r="E79" s="12">
        <v>1</v>
      </c>
      <c r="H79" s="12">
        <v>1</v>
      </c>
      <c r="L79" s="12">
        <v>1</v>
      </c>
      <c r="N79" s="12">
        <v>0</v>
      </c>
      <c r="P79" s="12">
        <v>0</v>
      </c>
      <c r="Q79" s="12">
        <v>1</v>
      </c>
      <c r="R79" s="12">
        <v>1</v>
      </c>
      <c r="S79" s="12">
        <v>1</v>
      </c>
      <c r="U79" s="12">
        <v>1</v>
      </c>
      <c r="Y79" s="12">
        <v>0</v>
      </c>
      <c r="AA79" s="12">
        <v>0</v>
      </c>
      <c r="AB79">
        <f t="shared" si="7"/>
        <v>5</v>
      </c>
    </row>
    <row r="80" spans="1:28" x14ac:dyDescent="0.25">
      <c r="A80" s="15">
        <v>1.2</v>
      </c>
      <c r="B80" s="17" t="s">
        <v>368</v>
      </c>
      <c r="C80" s="12">
        <v>0</v>
      </c>
      <c r="D80" s="12">
        <v>1</v>
      </c>
      <c r="H80" s="12">
        <v>1</v>
      </c>
      <c r="K80" s="12">
        <v>0</v>
      </c>
      <c r="N80" s="12">
        <v>0</v>
      </c>
      <c r="P80" s="12">
        <v>0</v>
      </c>
      <c r="Q80" s="12">
        <v>1</v>
      </c>
      <c r="AB80">
        <f t="shared" si="7"/>
        <v>1</v>
      </c>
    </row>
    <row r="81" spans="1:28" x14ac:dyDescent="0.25">
      <c r="A81" s="15">
        <v>1.3</v>
      </c>
      <c r="B81" s="17" t="s">
        <v>369</v>
      </c>
      <c r="C81" s="12">
        <v>0</v>
      </c>
      <c r="D81" s="12">
        <v>1</v>
      </c>
      <c r="P81" s="12">
        <v>0</v>
      </c>
      <c r="AB81">
        <f t="shared" si="7"/>
        <v>0</v>
      </c>
    </row>
    <row r="82" spans="1:28" x14ac:dyDescent="0.25">
      <c r="A82" s="15">
        <v>2</v>
      </c>
      <c r="B82" s="17" t="s">
        <v>370</v>
      </c>
      <c r="C82" s="12">
        <v>0</v>
      </c>
      <c r="D82" s="12">
        <v>1</v>
      </c>
      <c r="U82" s="12">
        <v>1</v>
      </c>
      <c r="Y82" s="12">
        <v>0</v>
      </c>
      <c r="AB82">
        <f t="shared" si="7"/>
        <v>1</v>
      </c>
    </row>
    <row r="83" spans="1:28" x14ac:dyDescent="0.25">
      <c r="A83" s="15">
        <v>3</v>
      </c>
      <c r="B83" s="17" t="s">
        <v>371</v>
      </c>
      <c r="C83" s="12">
        <v>0</v>
      </c>
      <c r="E83" s="12">
        <v>1</v>
      </c>
      <c r="H83" s="12">
        <v>0</v>
      </c>
      <c r="V83">
        <v>0</v>
      </c>
      <c r="X83" s="12">
        <v>1</v>
      </c>
      <c r="AB83">
        <f t="shared" si="7"/>
        <v>1</v>
      </c>
    </row>
    <row r="84" spans="1:28" ht="30" x14ac:dyDescent="0.25">
      <c r="A84" s="15">
        <v>4</v>
      </c>
      <c r="B84" s="17" t="s">
        <v>372</v>
      </c>
      <c r="C84" s="12">
        <v>0</v>
      </c>
      <c r="D84" s="12">
        <v>0</v>
      </c>
      <c r="U84" s="12">
        <v>1</v>
      </c>
      <c r="X84" s="12">
        <v>1</v>
      </c>
      <c r="Y84" s="12">
        <v>0</v>
      </c>
      <c r="AB84">
        <f t="shared" si="7"/>
        <v>2</v>
      </c>
    </row>
    <row r="85" spans="1:28" x14ac:dyDescent="0.25">
      <c r="AB85">
        <f t="shared" si="7"/>
        <v>0</v>
      </c>
    </row>
    <row r="86" spans="1:28" x14ac:dyDescent="0.25">
      <c r="A86" s="10" t="s">
        <v>373</v>
      </c>
      <c r="AB86">
        <f t="shared" si="7"/>
        <v>0</v>
      </c>
    </row>
    <row r="87" spans="1:28" x14ac:dyDescent="0.25">
      <c r="A87" s="15">
        <v>1</v>
      </c>
      <c r="B87" s="17" t="s">
        <v>374</v>
      </c>
      <c r="E87" s="12">
        <v>5</v>
      </c>
      <c r="F87" s="12">
        <v>4</v>
      </c>
      <c r="H87" s="12">
        <v>0</v>
      </c>
      <c r="P87" s="12">
        <v>0</v>
      </c>
      <c r="X87" s="12">
        <v>0</v>
      </c>
      <c r="AA87" s="12">
        <v>2</v>
      </c>
      <c r="AB87">
        <f t="shared" si="7"/>
        <v>2</v>
      </c>
    </row>
    <row r="88" spans="1:28" x14ac:dyDescent="0.25">
      <c r="A88" s="16">
        <v>2</v>
      </c>
      <c r="B88" s="17" t="s">
        <v>375</v>
      </c>
      <c r="D88" s="12">
        <v>2</v>
      </c>
      <c r="E88" s="12">
        <v>3</v>
      </c>
      <c r="F88" s="12">
        <v>1</v>
      </c>
      <c r="H88" s="12">
        <v>0</v>
      </c>
      <c r="K88" s="12">
        <v>0</v>
      </c>
      <c r="P88" s="12">
        <v>0</v>
      </c>
      <c r="Q88" s="12">
        <v>3</v>
      </c>
      <c r="R88" s="12">
        <v>3</v>
      </c>
      <c r="X88" s="12">
        <v>0</v>
      </c>
      <c r="Y88" s="12">
        <v>0</v>
      </c>
      <c r="Z88" s="12">
        <v>0</v>
      </c>
      <c r="AA88" s="12">
        <v>2</v>
      </c>
      <c r="AB88">
        <f t="shared" si="7"/>
        <v>8</v>
      </c>
    </row>
    <row r="89" spans="1:28" x14ac:dyDescent="0.25">
      <c r="A89" s="15">
        <v>3</v>
      </c>
      <c r="B89" s="17" t="s">
        <v>376</v>
      </c>
      <c r="D89" s="12">
        <v>0</v>
      </c>
      <c r="E89" s="12">
        <v>0</v>
      </c>
      <c r="H89" s="12">
        <v>0</v>
      </c>
      <c r="N89" s="12">
        <v>0</v>
      </c>
      <c r="P89" s="12">
        <v>280</v>
      </c>
      <c r="Q89" s="12">
        <v>0</v>
      </c>
      <c r="U89" s="12">
        <v>17</v>
      </c>
      <c r="X89" s="12">
        <v>0</v>
      </c>
      <c r="Y89" s="12">
        <v>0</v>
      </c>
      <c r="Z89" s="12">
        <v>0</v>
      </c>
      <c r="AB89">
        <f t="shared" si="7"/>
        <v>297</v>
      </c>
    </row>
    <row r="90" spans="1:28" ht="30" x14ac:dyDescent="0.25">
      <c r="A90" s="15">
        <v>4</v>
      </c>
      <c r="B90" s="17" t="s">
        <v>377</v>
      </c>
      <c r="D90" s="12">
        <v>0</v>
      </c>
      <c r="E90" s="12">
        <v>51</v>
      </c>
      <c r="H90" s="12">
        <v>0</v>
      </c>
      <c r="N90" s="12">
        <v>0</v>
      </c>
      <c r="P90" s="12">
        <v>12</v>
      </c>
      <c r="Q90" s="12">
        <v>3</v>
      </c>
      <c r="R90" s="12">
        <v>0</v>
      </c>
      <c r="Y90" s="12">
        <v>0</v>
      </c>
      <c r="Z90" s="12">
        <v>13</v>
      </c>
      <c r="AA90" s="12">
        <v>4</v>
      </c>
      <c r="AB90">
        <f t="shared" si="7"/>
        <v>32</v>
      </c>
    </row>
    <row r="91" spans="1:28" x14ac:dyDescent="0.25">
      <c r="A91" s="15">
        <v>5</v>
      </c>
      <c r="B91" s="17" t="s">
        <v>378</v>
      </c>
      <c r="N91" s="12">
        <v>0</v>
      </c>
      <c r="P91" s="12">
        <v>1</v>
      </c>
      <c r="R91" s="12">
        <v>0</v>
      </c>
      <c r="U91" s="12">
        <v>3</v>
      </c>
      <c r="Y91" s="12">
        <v>0</v>
      </c>
      <c r="AB91">
        <f t="shared" si="7"/>
        <v>4</v>
      </c>
    </row>
    <row r="92" spans="1:28" ht="30" x14ac:dyDescent="0.25">
      <c r="A92" s="15">
        <v>6</v>
      </c>
      <c r="B92" s="17" t="s">
        <v>379</v>
      </c>
      <c r="D92" s="12">
        <v>0</v>
      </c>
      <c r="H92" s="12">
        <v>9</v>
      </c>
      <c r="N92" s="12">
        <v>0</v>
      </c>
      <c r="P92" s="12">
        <v>13</v>
      </c>
      <c r="U92" s="12">
        <v>3</v>
      </c>
      <c r="AB92">
        <f t="shared" si="7"/>
        <v>16</v>
      </c>
    </row>
    <row r="93" spans="1:28" x14ac:dyDescent="0.25">
      <c r="A93" s="15">
        <v>7</v>
      </c>
      <c r="B93" s="17" t="s">
        <v>380</v>
      </c>
      <c r="D93" s="12">
        <v>0</v>
      </c>
      <c r="E93" s="12">
        <v>0</v>
      </c>
      <c r="H93" s="12">
        <v>0</v>
      </c>
      <c r="P93" s="12">
        <v>1</v>
      </c>
      <c r="Q93" s="12">
        <v>0</v>
      </c>
      <c r="AA93" s="12">
        <v>0</v>
      </c>
      <c r="AB93">
        <f t="shared" si="7"/>
        <v>1</v>
      </c>
    </row>
    <row r="94" spans="1:28" x14ac:dyDescent="0.25">
      <c r="A94" s="16">
        <v>8</v>
      </c>
      <c r="B94" s="17" t="s">
        <v>381</v>
      </c>
      <c r="C94" s="12">
        <v>0</v>
      </c>
      <c r="E94" s="12">
        <v>0</v>
      </c>
      <c r="F94" s="12">
        <v>12</v>
      </c>
      <c r="H94" s="12">
        <v>0</v>
      </c>
      <c r="L94" s="12">
        <v>1</v>
      </c>
      <c r="P94" s="12">
        <v>0</v>
      </c>
      <c r="Q94" s="12">
        <v>12</v>
      </c>
      <c r="R94" s="12">
        <v>3</v>
      </c>
      <c r="AA94" s="12">
        <v>12</v>
      </c>
      <c r="AB94">
        <f t="shared" si="7"/>
        <v>28</v>
      </c>
    </row>
    <row r="95" spans="1:28" x14ac:dyDescent="0.25">
      <c r="A95" s="15">
        <v>9</v>
      </c>
      <c r="B95" s="17" t="s">
        <v>382</v>
      </c>
      <c r="D95" s="12">
        <v>0</v>
      </c>
      <c r="E95" s="12">
        <v>3</v>
      </c>
      <c r="H95" s="12">
        <v>0</v>
      </c>
      <c r="P95" s="12">
        <v>0</v>
      </c>
      <c r="Q95" s="12">
        <v>0</v>
      </c>
      <c r="U95" s="12">
        <v>3</v>
      </c>
      <c r="AA95" s="12">
        <v>0</v>
      </c>
      <c r="AB95">
        <f t="shared" si="7"/>
        <v>3</v>
      </c>
    </row>
    <row r="96" spans="1:28" x14ac:dyDescent="0.25">
      <c r="A96" s="15">
        <v>10</v>
      </c>
      <c r="B96" s="17" t="s">
        <v>383</v>
      </c>
      <c r="AB96">
        <f t="shared" si="7"/>
        <v>0</v>
      </c>
    </row>
    <row r="97" spans="1:28" x14ac:dyDescent="0.25">
      <c r="A97" s="15">
        <v>11</v>
      </c>
      <c r="B97" s="17" t="s">
        <v>384</v>
      </c>
      <c r="AB97">
        <f t="shared" si="7"/>
        <v>0</v>
      </c>
    </row>
    <row r="98" spans="1:28" x14ac:dyDescent="0.25">
      <c r="A98" s="15">
        <v>12</v>
      </c>
      <c r="B98" s="17" t="s">
        <v>385</v>
      </c>
      <c r="AB98">
        <f t="shared" si="7"/>
        <v>0</v>
      </c>
    </row>
    <row r="99" spans="1:28" x14ac:dyDescent="0.25">
      <c r="A99" s="15">
        <v>13</v>
      </c>
      <c r="B99" s="17" t="s">
        <v>386</v>
      </c>
      <c r="AB99">
        <f t="shared" si="7"/>
        <v>0</v>
      </c>
    </row>
    <row r="100" spans="1:28" x14ac:dyDescent="0.25">
      <c r="A100" s="16">
        <v>14</v>
      </c>
      <c r="B100" s="17" t="s">
        <v>387</v>
      </c>
      <c r="H100" s="12">
        <v>0</v>
      </c>
      <c r="P100" s="12">
        <v>1</v>
      </c>
      <c r="AB100">
        <f t="shared" si="7"/>
        <v>1</v>
      </c>
    </row>
    <row r="101" spans="1:28" x14ac:dyDescent="0.25">
      <c r="A101" s="15">
        <v>15</v>
      </c>
      <c r="B101" s="17" t="s">
        <v>388</v>
      </c>
      <c r="P101" s="12">
        <v>0</v>
      </c>
      <c r="AB101">
        <f t="shared" si="7"/>
        <v>0</v>
      </c>
    </row>
    <row r="102" spans="1:28" x14ac:dyDescent="0.25">
      <c r="AB102">
        <f t="shared" si="7"/>
        <v>0</v>
      </c>
    </row>
    <row r="103" spans="1:28" x14ac:dyDescent="0.25">
      <c r="AB103">
        <f t="shared" si="7"/>
        <v>0</v>
      </c>
    </row>
    <row r="104" spans="1:28" x14ac:dyDescent="0.25">
      <c r="AB104">
        <f t="shared" si="7"/>
        <v>0</v>
      </c>
    </row>
    <row r="112" spans="1:28" x14ac:dyDescent="0.25">
      <c r="A112" s="16"/>
      <c r="B112" s="17"/>
    </row>
    <row r="121" spans="1:2" x14ac:dyDescent="0.25">
      <c r="A121" s="16"/>
      <c r="B121" s="17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1"/>
  <sheetViews>
    <sheetView topLeftCell="A2" zoomScale="119" zoomScaleNormal="80" workbookViewId="0">
      <pane xSplit="2" ySplit="2" topLeftCell="C51" activePane="bottomRight" state="frozen"/>
      <selection activeCell="A2" sqref="A2"/>
      <selection pane="topRight" activeCell="B2" sqref="B2"/>
      <selection pane="bottomLeft" activeCell="A4" sqref="A4"/>
      <selection pane="bottomRight" activeCell="N10" sqref="N10"/>
    </sheetView>
  </sheetViews>
  <sheetFormatPr defaultRowHeight="15" x14ac:dyDescent="0.25"/>
  <cols>
    <col min="1" max="1" width="6.42578125" style="15" customWidth="1"/>
    <col min="2" max="2" width="46.28515625" customWidth="1"/>
    <col min="3" max="3" width="8.140625" style="12" bestFit="1" customWidth="1"/>
    <col min="4" max="4" width="9.85546875" style="12" bestFit="1" customWidth="1"/>
    <col min="5" max="5" width="10.28515625" style="12" bestFit="1" customWidth="1"/>
    <col min="6" max="6" width="9.140625" style="12" customWidth="1"/>
    <col min="7" max="7" width="10.7109375" style="12" bestFit="1" customWidth="1"/>
    <col min="8" max="8" width="11.140625" bestFit="1" customWidth="1"/>
    <col min="9" max="9" width="9.85546875" style="12" bestFit="1" customWidth="1"/>
    <col min="10" max="10" width="9.7109375" bestFit="1" customWidth="1"/>
    <col min="11" max="11" width="8.5703125" style="12" bestFit="1" customWidth="1"/>
    <col min="12" max="12" width="7.5703125" bestFit="1" customWidth="1"/>
    <col min="13" max="13" width="9.5703125" style="12" bestFit="1" customWidth="1"/>
    <col min="14" max="14" width="9.7109375" bestFit="1" customWidth="1"/>
    <col min="15" max="15" width="10" style="12" bestFit="1" customWidth="1"/>
    <col min="16" max="16" width="9.85546875" style="12" bestFit="1" customWidth="1"/>
  </cols>
  <sheetData>
    <row r="1" spans="1:18" hidden="1" x14ac:dyDescent="0.25">
      <c r="A1" s="15" t="s">
        <v>41</v>
      </c>
    </row>
    <row r="2" spans="1:18" x14ac:dyDescent="0.25">
      <c r="C2" s="34" t="s">
        <v>163</v>
      </c>
      <c r="D2" s="34" t="s">
        <v>156</v>
      </c>
      <c r="E2" s="34" t="s">
        <v>164</v>
      </c>
      <c r="F2" s="34" t="s">
        <v>165</v>
      </c>
      <c r="G2" s="34" t="s">
        <v>171</v>
      </c>
      <c r="H2" s="1" t="s">
        <v>167</v>
      </c>
      <c r="I2" s="34" t="s">
        <v>168</v>
      </c>
      <c r="J2" s="1" t="s">
        <v>172</v>
      </c>
      <c r="K2" s="34" t="s">
        <v>169</v>
      </c>
      <c r="L2" s="1" t="s">
        <v>170</v>
      </c>
      <c r="M2" s="34" t="s">
        <v>166</v>
      </c>
      <c r="N2" s="1" t="s">
        <v>172</v>
      </c>
      <c r="O2" s="34" t="s">
        <v>173</v>
      </c>
      <c r="P2" s="34" t="s">
        <v>174</v>
      </c>
      <c r="Q2" s="34" t="s">
        <v>440</v>
      </c>
      <c r="R2" s="2"/>
    </row>
    <row r="3" spans="1:18" x14ac:dyDescent="0.25">
      <c r="C3" s="34" t="s">
        <v>175</v>
      </c>
      <c r="D3" s="34" t="s">
        <v>176</v>
      </c>
      <c r="E3" s="34" t="s">
        <v>177</v>
      </c>
      <c r="F3" s="34" t="s">
        <v>178</v>
      </c>
      <c r="G3" s="34" t="s">
        <v>409</v>
      </c>
      <c r="H3" s="1" t="s">
        <v>179</v>
      </c>
      <c r="I3" s="34" t="s">
        <v>132</v>
      </c>
      <c r="J3" s="1" t="s">
        <v>182</v>
      </c>
      <c r="K3" s="34" t="s">
        <v>180</v>
      </c>
      <c r="L3" s="1" t="s">
        <v>181</v>
      </c>
      <c r="M3" s="34" t="s">
        <v>157</v>
      </c>
      <c r="N3" s="1" t="s">
        <v>182</v>
      </c>
      <c r="O3" s="34" t="s">
        <v>183</v>
      </c>
      <c r="P3" s="34" t="s">
        <v>422</v>
      </c>
      <c r="Q3" s="34" t="s">
        <v>441</v>
      </c>
      <c r="R3" s="2" t="s">
        <v>162</v>
      </c>
    </row>
    <row r="4" spans="1:18" x14ac:dyDescent="0.25">
      <c r="A4" s="10" t="s">
        <v>0</v>
      </c>
      <c r="C4" s="12">
        <f>SUM(C5:C9)</f>
        <v>0</v>
      </c>
      <c r="D4" s="12">
        <v>0</v>
      </c>
      <c r="E4" s="12">
        <v>0</v>
      </c>
      <c r="F4" s="12">
        <f t="shared" ref="F4:N4" si="0">SUM(F5:F9)</f>
        <v>0</v>
      </c>
      <c r="G4" s="12">
        <f t="shared" si="0"/>
        <v>0</v>
      </c>
      <c r="H4">
        <v>16</v>
      </c>
      <c r="I4" s="12">
        <f t="shared" si="0"/>
        <v>0</v>
      </c>
      <c r="J4">
        <v>5</v>
      </c>
      <c r="K4" s="12">
        <v>0</v>
      </c>
      <c r="L4">
        <v>0</v>
      </c>
      <c r="M4" s="12">
        <f t="shared" si="0"/>
        <v>0</v>
      </c>
      <c r="N4">
        <f t="shared" si="0"/>
        <v>0</v>
      </c>
      <c r="O4" s="12">
        <v>0</v>
      </c>
      <c r="P4" s="12">
        <v>3</v>
      </c>
      <c r="R4">
        <f>SUM(C4:Q4)</f>
        <v>24</v>
      </c>
    </row>
    <row r="5" spans="1:18" x14ac:dyDescent="0.25">
      <c r="A5" s="15" t="s">
        <v>1</v>
      </c>
      <c r="R5">
        <f t="shared" ref="R5:R68" si="1">SUM(C5:Q5)</f>
        <v>0</v>
      </c>
    </row>
    <row r="6" spans="1:18" x14ac:dyDescent="0.25">
      <c r="A6" s="15" t="s">
        <v>2</v>
      </c>
      <c r="R6">
        <f t="shared" si="1"/>
        <v>0</v>
      </c>
    </row>
    <row r="7" spans="1:18" x14ac:dyDescent="0.25">
      <c r="A7" s="15" t="s">
        <v>3</v>
      </c>
      <c r="R7">
        <f t="shared" si="1"/>
        <v>0</v>
      </c>
    </row>
    <row r="8" spans="1:18" x14ac:dyDescent="0.25">
      <c r="A8" s="15" t="s">
        <v>4</v>
      </c>
      <c r="R8">
        <f t="shared" si="1"/>
        <v>0</v>
      </c>
    </row>
    <row r="9" spans="1:18" x14ac:dyDescent="0.25">
      <c r="A9" s="15" t="s">
        <v>5</v>
      </c>
      <c r="R9">
        <f t="shared" si="1"/>
        <v>0</v>
      </c>
    </row>
    <row r="10" spans="1:18" x14ac:dyDescent="0.25">
      <c r="A10" s="10" t="s">
        <v>309</v>
      </c>
      <c r="B10" s="2"/>
      <c r="C10" s="12">
        <f>C17-C22</f>
        <v>1</v>
      </c>
      <c r="D10" s="12">
        <f t="shared" ref="D10:P10" si="2">D17-D22</f>
        <v>142</v>
      </c>
      <c r="E10" s="12">
        <f t="shared" si="2"/>
        <v>216</v>
      </c>
      <c r="F10" s="12">
        <f t="shared" si="2"/>
        <v>0</v>
      </c>
      <c r="G10" s="12">
        <f t="shared" si="2"/>
        <v>265</v>
      </c>
      <c r="H10">
        <f t="shared" si="2"/>
        <v>263</v>
      </c>
      <c r="I10" s="12">
        <f t="shared" si="2"/>
        <v>0</v>
      </c>
      <c r="K10" s="12">
        <f t="shared" si="2"/>
        <v>0</v>
      </c>
      <c r="L10">
        <f t="shared" si="2"/>
        <v>32</v>
      </c>
      <c r="M10" s="12">
        <f t="shared" si="2"/>
        <v>174</v>
      </c>
      <c r="N10">
        <f t="shared" si="2"/>
        <v>0</v>
      </c>
      <c r="O10" s="12">
        <f t="shared" si="2"/>
        <v>44</v>
      </c>
      <c r="P10" s="12">
        <f t="shared" si="2"/>
        <v>36</v>
      </c>
      <c r="R10">
        <f t="shared" si="1"/>
        <v>1173</v>
      </c>
    </row>
    <row r="11" spans="1:18" x14ac:dyDescent="0.25">
      <c r="A11" s="15" t="s">
        <v>310</v>
      </c>
      <c r="D11" s="12">
        <v>0</v>
      </c>
      <c r="E11" s="12">
        <v>108</v>
      </c>
      <c r="G11" s="12">
        <v>229</v>
      </c>
      <c r="H11">
        <v>189</v>
      </c>
      <c r="J11">
        <f>12+74</f>
        <v>86</v>
      </c>
      <c r="L11">
        <v>16</v>
      </c>
      <c r="M11" s="12">
        <v>0</v>
      </c>
      <c r="O11" s="12">
        <v>0</v>
      </c>
      <c r="P11" s="12">
        <v>35</v>
      </c>
      <c r="Q11" s="12">
        <v>12</v>
      </c>
      <c r="R11">
        <f t="shared" si="1"/>
        <v>675</v>
      </c>
    </row>
    <row r="12" spans="1:18" x14ac:dyDescent="0.25">
      <c r="A12" s="15" t="s">
        <v>311</v>
      </c>
      <c r="D12" s="12">
        <v>0</v>
      </c>
      <c r="E12" s="12">
        <v>108</v>
      </c>
      <c r="G12" s="12">
        <v>36</v>
      </c>
      <c r="H12" s="12">
        <v>72</v>
      </c>
      <c r="J12">
        <v>0</v>
      </c>
      <c r="L12">
        <v>3</v>
      </c>
      <c r="M12" s="12">
        <v>0</v>
      </c>
      <c r="O12" s="12">
        <v>0</v>
      </c>
      <c r="P12" s="12">
        <v>0</v>
      </c>
      <c r="Q12" s="12">
        <v>3</v>
      </c>
      <c r="R12">
        <f t="shared" si="1"/>
        <v>222</v>
      </c>
    </row>
    <row r="13" spans="1:18" x14ac:dyDescent="0.25">
      <c r="A13" s="15">
        <v>1</v>
      </c>
      <c r="B13" t="s">
        <v>312</v>
      </c>
      <c r="D13" s="12">
        <v>142</v>
      </c>
      <c r="E13" s="12">
        <v>0</v>
      </c>
      <c r="G13" s="12">
        <v>0</v>
      </c>
      <c r="H13">
        <v>0</v>
      </c>
      <c r="J13" t="s">
        <v>423</v>
      </c>
      <c r="L13">
        <v>13</v>
      </c>
      <c r="M13" s="12">
        <v>174</v>
      </c>
      <c r="O13" s="12">
        <v>44</v>
      </c>
      <c r="P13" s="12">
        <v>0</v>
      </c>
      <c r="R13">
        <f t="shared" si="1"/>
        <v>373</v>
      </c>
    </row>
    <row r="14" spans="1:18" x14ac:dyDescent="0.25">
      <c r="A14" s="15">
        <v>2</v>
      </c>
      <c r="B14" t="s">
        <v>313</v>
      </c>
      <c r="C14" s="12">
        <v>1</v>
      </c>
      <c r="H14">
        <v>3</v>
      </c>
      <c r="M14" s="12">
        <v>0</v>
      </c>
      <c r="O14" s="12">
        <v>0</v>
      </c>
      <c r="P14" s="12">
        <v>1</v>
      </c>
      <c r="Q14" s="12">
        <v>1</v>
      </c>
      <c r="R14">
        <f t="shared" si="1"/>
        <v>6</v>
      </c>
    </row>
    <row r="15" spans="1:18" x14ac:dyDescent="0.25">
      <c r="A15" s="15">
        <v>3</v>
      </c>
      <c r="B15" t="s">
        <v>314</v>
      </c>
      <c r="R15">
        <f t="shared" si="1"/>
        <v>0</v>
      </c>
    </row>
    <row r="16" spans="1:18" x14ac:dyDescent="0.25">
      <c r="A16" s="15">
        <v>4</v>
      </c>
      <c r="B16" t="s">
        <v>315</v>
      </c>
      <c r="R16">
        <f t="shared" si="1"/>
        <v>0</v>
      </c>
    </row>
    <row r="17" spans="1:18" x14ac:dyDescent="0.25">
      <c r="A17" s="10" t="s">
        <v>428</v>
      </c>
      <c r="C17" s="12">
        <f>SUM(C11:C16)</f>
        <v>1</v>
      </c>
      <c r="D17" s="12">
        <f t="shared" ref="D17:Q17" si="3">SUM(D11:D16)</f>
        <v>142</v>
      </c>
      <c r="E17" s="12">
        <f t="shared" si="3"/>
        <v>216</v>
      </c>
      <c r="F17" s="12">
        <f t="shared" si="3"/>
        <v>0</v>
      </c>
      <c r="G17" s="12">
        <f t="shared" si="3"/>
        <v>265</v>
      </c>
      <c r="H17">
        <f t="shared" si="3"/>
        <v>264</v>
      </c>
      <c r="I17" s="12">
        <f t="shared" si="3"/>
        <v>0</v>
      </c>
      <c r="J17">
        <f t="shared" si="3"/>
        <v>86</v>
      </c>
      <c r="K17">
        <f t="shared" si="3"/>
        <v>0</v>
      </c>
      <c r="L17">
        <f t="shared" si="3"/>
        <v>32</v>
      </c>
      <c r="M17" s="12">
        <f t="shared" si="3"/>
        <v>174</v>
      </c>
      <c r="N17">
        <f t="shared" si="3"/>
        <v>0</v>
      </c>
      <c r="O17" s="12">
        <f t="shared" si="3"/>
        <v>44</v>
      </c>
      <c r="P17" s="12">
        <f t="shared" si="3"/>
        <v>36</v>
      </c>
      <c r="Q17" s="12">
        <f t="shared" si="3"/>
        <v>16</v>
      </c>
      <c r="R17">
        <f t="shared" si="1"/>
        <v>1276</v>
      </c>
    </row>
    <row r="18" spans="1:18" x14ac:dyDescent="0.25">
      <c r="A18" s="16"/>
      <c r="B18" s="17"/>
      <c r="R18">
        <f t="shared" si="1"/>
        <v>0</v>
      </c>
    </row>
    <row r="19" spans="1:18" x14ac:dyDescent="0.25">
      <c r="A19" s="15">
        <v>5</v>
      </c>
      <c r="B19" t="s">
        <v>316</v>
      </c>
      <c r="R19">
        <f t="shared" si="1"/>
        <v>0</v>
      </c>
    </row>
    <row r="20" spans="1:18" x14ac:dyDescent="0.25">
      <c r="A20" s="15">
        <v>6</v>
      </c>
      <c r="B20" t="s">
        <v>317</v>
      </c>
      <c r="O20" s="12">
        <v>0</v>
      </c>
      <c r="R20">
        <f t="shared" si="1"/>
        <v>0</v>
      </c>
    </row>
    <row r="21" spans="1:18" x14ac:dyDescent="0.25">
      <c r="A21" s="15">
        <v>7</v>
      </c>
      <c r="B21" t="s">
        <v>318</v>
      </c>
      <c r="D21" s="12">
        <v>0</v>
      </c>
      <c r="E21" s="12">
        <v>0</v>
      </c>
      <c r="H21">
        <v>1</v>
      </c>
      <c r="K21" s="12">
        <v>0</v>
      </c>
      <c r="M21" s="12">
        <v>0</v>
      </c>
      <c r="R21">
        <f t="shared" si="1"/>
        <v>1</v>
      </c>
    </row>
    <row r="22" spans="1:18" x14ac:dyDescent="0.25">
      <c r="A22" s="10" t="s">
        <v>429</v>
      </c>
      <c r="D22" s="12">
        <f t="shared" ref="D22:Q22" si="4">SUM(D19:D21)</f>
        <v>0</v>
      </c>
      <c r="E22" s="12">
        <f t="shared" si="4"/>
        <v>0</v>
      </c>
      <c r="F22" s="12">
        <f t="shared" si="4"/>
        <v>0</v>
      </c>
      <c r="G22" s="12">
        <f t="shared" si="4"/>
        <v>0</v>
      </c>
      <c r="H22">
        <f t="shared" si="4"/>
        <v>1</v>
      </c>
      <c r="I22" s="12">
        <f t="shared" si="4"/>
        <v>0</v>
      </c>
      <c r="K22" s="12">
        <f t="shared" si="4"/>
        <v>0</v>
      </c>
      <c r="L22">
        <f t="shared" si="4"/>
        <v>0</v>
      </c>
      <c r="M22" s="12">
        <f t="shared" si="4"/>
        <v>0</v>
      </c>
      <c r="N22">
        <f t="shared" si="4"/>
        <v>0</v>
      </c>
      <c r="O22" s="12">
        <f t="shared" si="4"/>
        <v>0</v>
      </c>
      <c r="P22" s="12">
        <f t="shared" si="4"/>
        <v>0</v>
      </c>
      <c r="Q22" s="12">
        <f t="shared" si="4"/>
        <v>0</v>
      </c>
      <c r="R22">
        <f t="shared" si="1"/>
        <v>1</v>
      </c>
    </row>
    <row r="23" spans="1:18" x14ac:dyDescent="0.25">
      <c r="R23">
        <f t="shared" si="1"/>
        <v>0</v>
      </c>
    </row>
    <row r="24" spans="1:18" x14ac:dyDescent="0.25">
      <c r="A24" s="16">
        <v>8</v>
      </c>
      <c r="B24" s="17" t="s">
        <v>319</v>
      </c>
      <c r="I24" s="12">
        <v>0</v>
      </c>
      <c r="R24">
        <f t="shared" si="1"/>
        <v>0</v>
      </c>
    </row>
    <row r="25" spans="1:18" x14ac:dyDescent="0.25">
      <c r="A25" s="16">
        <v>9</v>
      </c>
      <c r="B25" s="17" t="s">
        <v>320</v>
      </c>
      <c r="I25" s="12">
        <v>0</v>
      </c>
      <c r="R25">
        <f t="shared" si="1"/>
        <v>0</v>
      </c>
    </row>
    <row r="26" spans="1:18" x14ac:dyDescent="0.25">
      <c r="A26" s="15">
        <v>10</v>
      </c>
      <c r="B26" t="s">
        <v>321</v>
      </c>
      <c r="D26" s="12">
        <v>17</v>
      </c>
      <c r="E26" s="12">
        <v>0</v>
      </c>
      <c r="G26" s="12">
        <v>0</v>
      </c>
      <c r="H26">
        <v>40</v>
      </c>
      <c r="J26">
        <v>35</v>
      </c>
      <c r="L26">
        <v>18</v>
      </c>
      <c r="M26" s="12">
        <v>0</v>
      </c>
      <c r="O26" s="12">
        <v>0</v>
      </c>
      <c r="P26" s="12">
        <v>15</v>
      </c>
      <c r="R26">
        <f t="shared" si="1"/>
        <v>125</v>
      </c>
    </row>
    <row r="27" spans="1:18" x14ac:dyDescent="0.25">
      <c r="A27" s="16">
        <v>11</v>
      </c>
      <c r="B27" s="17" t="s">
        <v>322</v>
      </c>
      <c r="D27" s="12">
        <v>11</v>
      </c>
      <c r="E27" s="12">
        <v>47</v>
      </c>
      <c r="F27" s="12">
        <v>0</v>
      </c>
      <c r="G27" s="12">
        <v>0</v>
      </c>
      <c r="H27" s="12">
        <v>5</v>
      </c>
      <c r="I27" s="12">
        <v>49</v>
      </c>
      <c r="L27">
        <v>10</v>
      </c>
      <c r="M27" s="12">
        <v>0</v>
      </c>
      <c r="O27" s="12">
        <v>20</v>
      </c>
      <c r="Q27" s="12">
        <v>10</v>
      </c>
      <c r="R27">
        <f t="shared" si="1"/>
        <v>152</v>
      </c>
    </row>
    <row r="28" spans="1:18" x14ac:dyDescent="0.25">
      <c r="A28" s="16">
        <v>12</v>
      </c>
      <c r="B28" s="17" t="s">
        <v>323</v>
      </c>
      <c r="E28" s="12">
        <v>15</v>
      </c>
      <c r="H28">
        <v>1</v>
      </c>
      <c r="I28" s="12">
        <v>3</v>
      </c>
      <c r="O28" s="12">
        <v>3</v>
      </c>
      <c r="R28">
        <f t="shared" si="1"/>
        <v>22</v>
      </c>
    </row>
    <row r="29" spans="1:18" ht="30" x14ac:dyDescent="0.25">
      <c r="A29" s="16">
        <v>13</v>
      </c>
      <c r="B29" s="17" t="s">
        <v>324</v>
      </c>
      <c r="D29" s="12">
        <v>1</v>
      </c>
      <c r="E29" s="12">
        <v>0</v>
      </c>
      <c r="H29">
        <v>5</v>
      </c>
      <c r="P29" s="12">
        <v>0</v>
      </c>
      <c r="Q29">
        <v>5</v>
      </c>
      <c r="R29">
        <f t="shared" si="1"/>
        <v>11</v>
      </c>
    </row>
    <row r="30" spans="1:18" x14ac:dyDescent="0.25">
      <c r="R30">
        <f t="shared" si="1"/>
        <v>0</v>
      </c>
    </row>
    <row r="31" spans="1:18" ht="45" x14ac:dyDescent="0.25">
      <c r="B31" s="11" t="s">
        <v>325</v>
      </c>
      <c r="R31">
        <f t="shared" si="1"/>
        <v>0</v>
      </c>
    </row>
    <row r="32" spans="1:18" x14ac:dyDescent="0.25">
      <c r="A32" s="15">
        <v>1</v>
      </c>
      <c r="B32" s="17" t="s">
        <v>326</v>
      </c>
      <c r="C32" s="12">
        <v>0</v>
      </c>
      <c r="D32" s="12">
        <v>168</v>
      </c>
      <c r="E32" s="12">
        <v>168</v>
      </c>
      <c r="F32" s="12">
        <v>0</v>
      </c>
      <c r="G32" s="12">
        <v>434</v>
      </c>
      <c r="H32">
        <v>435</v>
      </c>
      <c r="I32" s="12">
        <v>446</v>
      </c>
      <c r="J32">
        <v>0</v>
      </c>
      <c r="L32">
        <v>0</v>
      </c>
      <c r="M32" s="12">
        <v>431</v>
      </c>
      <c r="P32" s="12">
        <v>0</v>
      </c>
      <c r="Q32" s="12">
        <v>1</v>
      </c>
      <c r="R32">
        <f t="shared" si="1"/>
        <v>2083</v>
      </c>
    </row>
    <row r="33" spans="1:18" x14ac:dyDescent="0.25">
      <c r="A33" s="15">
        <v>2</v>
      </c>
      <c r="B33" s="17" t="s">
        <v>327</v>
      </c>
      <c r="C33" s="12">
        <v>0</v>
      </c>
      <c r="D33" s="12">
        <v>48</v>
      </c>
      <c r="E33" s="12">
        <v>62</v>
      </c>
      <c r="G33" s="12">
        <v>89</v>
      </c>
      <c r="H33">
        <v>184</v>
      </c>
      <c r="I33" s="12">
        <v>39</v>
      </c>
      <c r="J33">
        <v>0</v>
      </c>
      <c r="L33">
        <v>0</v>
      </c>
      <c r="M33" s="12">
        <v>89</v>
      </c>
      <c r="R33">
        <f t="shared" si="1"/>
        <v>511</v>
      </c>
    </row>
    <row r="34" spans="1:18" x14ac:dyDescent="0.25">
      <c r="A34" s="15">
        <v>3</v>
      </c>
      <c r="B34" s="17" t="s">
        <v>328</v>
      </c>
      <c r="C34" s="12">
        <v>0</v>
      </c>
      <c r="G34" s="12">
        <v>2</v>
      </c>
      <c r="H34">
        <v>123</v>
      </c>
      <c r="L34">
        <v>0</v>
      </c>
      <c r="M34" s="12">
        <v>2</v>
      </c>
      <c r="R34">
        <f t="shared" si="1"/>
        <v>127</v>
      </c>
    </row>
    <row r="35" spans="1:18" x14ac:dyDescent="0.25">
      <c r="A35" s="16">
        <v>4</v>
      </c>
      <c r="B35" s="17" t="s">
        <v>329</v>
      </c>
      <c r="C35" s="12">
        <v>0</v>
      </c>
      <c r="D35" s="12">
        <v>22</v>
      </c>
      <c r="E35" s="12">
        <v>22</v>
      </c>
      <c r="G35" s="12">
        <v>20</v>
      </c>
      <c r="H35">
        <v>163</v>
      </c>
      <c r="J35">
        <v>0</v>
      </c>
      <c r="L35">
        <v>0</v>
      </c>
      <c r="M35" s="12">
        <v>20</v>
      </c>
      <c r="R35">
        <f t="shared" si="1"/>
        <v>247</v>
      </c>
    </row>
    <row r="36" spans="1:18" x14ac:dyDescent="0.25">
      <c r="A36" s="16">
        <v>5</v>
      </c>
      <c r="B36" s="17" t="s">
        <v>330</v>
      </c>
      <c r="C36" s="12">
        <v>0</v>
      </c>
      <c r="D36" s="12">
        <v>28</v>
      </c>
      <c r="E36" s="12">
        <v>29</v>
      </c>
      <c r="G36" s="12">
        <v>26</v>
      </c>
      <c r="H36">
        <v>250</v>
      </c>
      <c r="I36" s="12">
        <v>40</v>
      </c>
      <c r="J36">
        <v>0</v>
      </c>
      <c r="L36">
        <v>0</v>
      </c>
      <c r="M36" s="12">
        <v>26</v>
      </c>
      <c r="P36" s="12">
        <v>0</v>
      </c>
      <c r="R36">
        <f t="shared" si="1"/>
        <v>399</v>
      </c>
    </row>
    <row r="37" spans="1:18" x14ac:dyDescent="0.25">
      <c r="A37" s="15">
        <v>6</v>
      </c>
      <c r="B37" s="17" t="s">
        <v>331</v>
      </c>
      <c r="R37">
        <f t="shared" si="1"/>
        <v>0</v>
      </c>
    </row>
    <row r="38" spans="1:18" x14ac:dyDescent="0.25">
      <c r="R38">
        <f t="shared" si="1"/>
        <v>0</v>
      </c>
    </row>
    <row r="39" spans="1:18" x14ac:dyDescent="0.25">
      <c r="A39" s="15" t="s">
        <v>430</v>
      </c>
      <c r="C39" s="12">
        <f>SUM(C40:C49)</f>
        <v>14</v>
      </c>
      <c r="D39" s="12">
        <f t="shared" ref="D39:P39" si="5">SUM(D40:D49)</f>
        <v>0</v>
      </c>
      <c r="E39" s="12">
        <f t="shared" si="5"/>
        <v>18</v>
      </c>
      <c r="F39" s="12">
        <f t="shared" si="5"/>
        <v>13</v>
      </c>
      <c r="G39" s="12">
        <f t="shared" si="5"/>
        <v>26</v>
      </c>
      <c r="H39">
        <f t="shared" si="5"/>
        <v>32</v>
      </c>
      <c r="I39" s="12">
        <f t="shared" si="5"/>
        <v>14</v>
      </c>
      <c r="J39">
        <f t="shared" si="5"/>
        <v>12</v>
      </c>
      <c r="K39" s="12">
        <f t="shared" si="5"/>
        <v>19</v>
      </c>
      <c r="L39">
        <f t="shared" si="5"/>
        <v>14</v>
      </c>
      <c r="M39" s="12">
        <f t="shared" si="5"/>
        <v>15</v>
      </c>
      <c r="N39">
        <f t="shared" si="5"/>
        <v>0</v>
      </c>
      <c r="O39" s="12">
        <f t="shared" si="5"/>
        <v>17</v>
      </c>
      <c r="P39" s="12">
        <f t="shared" si="5"/>
        <v>21</v>
      </c>
      <c r="R39">
        <f t="shared" si="1"/>
        <v>215</v>
      </c>
    </row>
    <row r="40" spans="1:18" x14ac:dyDescent="0.25">
      <c r="A40" s="15">
        <v>1</v>
      </c>
      <c r="B40" s="17" t="s">
        <v>332</v>
      </c>
      <c r="C40" s="12">
        <v>13</v>
      </c>
      <c r="D40" s="12">
        <v>0</v>
      </c>
      <c r="E40" s="12">
        <v>13</v>
      </c>
      <c r="F40" s="12">
        <v>12</v>
      </c>
      <c r="G40" s="12">
        <v>13</v>
      </c>
      <c r="H40">
        <v>13</v>
      </c>
      <c r="I40" s="12">
        <v>13</v>
      </c>
      <c r="J40">
        <v>0</v>
      </c>
      <c r="K40" s="12">
        <v>14</v>
      </c>
      <c r="L40">
        <v>14</v>
      </c>
      <c r="M40" s="12">
        <v>13</v>
      </c>
      <c r="O40" s="12">
        <v>14</v>
      </c>
      <c r="P40" s="12">
        <v>12</v>
      </c>
      <c r="Q40" s="12">
        <v>12</v>
      </c>
      <c r="R40">
        <f t="shared" si="1"/>
        <v>156</v>
      </c>
    </row>
    <row r="41" spans="1:18" x14ac:dyDescent="0.25">
      <c r="A41" s="15">
        <v>2</v>
      </c>
      <c r="B41" s="17" t="s">
        <v>333</v>
      </c>
      <c r="C41" s="12">
        <v>1</v>
      </c>
      <c r="D41" s="12">
        <v>0</v>
      </c>
      <c r="E41" s="12">
        <v>3</v>
      </c>
      <c r="F41" s="12">
        <v>1</v>
      </c>
      <c r="G41" s="12">
        <v>2</v>
      </c>
      <c r="H41" s="12">
        <v>11</v>
      </c>
      <c r="I41" s="12">
        <v>1</v>
      </c>
      <c r="J41">
        <v>11</v>
      </c>
      <c r="K41" s="12">
        <v>3</v>
      </c>
      <c r="O41" s="12">
        <v>1</v>
      </c>
      <c r="P41" s="12">
        <v>3</v>
      </c>
      <c r="Q41">
        <v>1</v>
      </c>
      <c r="R41">
        <f t="shared" si="1"/>
        <v>38</v>
      </c>
    </row>
    <row r="42" spans="1:18" x14ac:dyDescent="0.25">
      <c r="A42" s="15">
        <v>3</v>
      </c>
      <c r="B42" s="17" t="s">
        <v>334</v>
      </c>
      <c r="E42" s="12">
        <v>0</v>
      </c>
      <c r="J42">
        <v>1</v>
      </c>
      <c r="K42" s="12">
        <v>0</v>
      </c>
      <c r="L42">
        <v>0</v>
      </c>
      <c r="O42" s="12">
        <v>2</v>
      </c>
      <c r="P42" s="12">
        <v>2</v>
      </c>
      <c r="R42">
        <f t="shared" si="1"/>
        <v>5</v>
      </c>
    </row>
    <row r="43" spans="1:18" x14ac:dyDescent="0.25">
      <c r="A43" s="15">
        <v>4</v>
      </c>
      <c r="B43" s="17" t="s">
        <v>335</v>
      </c>
      <c r="G43" s="12">
        <v>0</v>
      </c>
      <c r="R43">
        <f t="shared" si="1"/>
        <v>0</v>
      </c>
    </row>
    <row r="44" spans="1:18" x14ac:dyDescent="0.25">
      <c r="A44" s="15">
        <v>5</v>
      </c>
      <c r="B44" s="17" t="s">
        <v>336</v>
      </c>
      <c r="M44" s="12">
        <v>1</v>
      </c>
      <c r="R44">
        <f t="shared" si="1"/>
        <v>1</v>
      </c>
    </row>
    <row r="45" spans="1:18" x14ac:dyDescent="0.25">
      <c r="A45" s="15">
        <v>6</v>
      </c>
      <c r="B45" s="17" t="s">
        <v>337</v>
      </c>
      <c r="E45" s="12">
        <v>0</v>
      </c>
      <c r="K45" s="12">
        <v>0</v>
      </c>
      <c r="P45" s="12">
        <v>1</v>
      </c>
      <c r="R45">
        <f t="shared" si="1"/>
        <v>1</v>
      </c>
    </row>
    <row r="46" spans="1:18" x14ac:dyDescent="0.25">
      <c r="A46" s="15">
        <v>7</v>
      </c>
      <c r="B46" s="17" t="s">
        <v>338</v>
      </c>
      <c r="C46" s="12">
        <v>0</v>
      </c>
      <c r="D46" s="12">
        <v>0</v>
      </c>
      <c r="E46" s="12">
        <v>0</v>
      </c>
      <c r="K46" s="12">
        <v>1</v>
      </c>
      <c r="M46" s="12">
        <v>0</v>
      </c>
      <c r="O46" s="12">
        <v>0</v>
      </c>
      <c r="R46">
        <f t="shared" si="1"/>
        <v>1</v>
      </c>
    </row>
    <row r="47" spans="1:18" x14ac:dyDescent="0.25">
      <c r="A47" s="15">
        <v>8</v>
      </c>
      <c r="B47" s="17" t="s">
        <v>339</v>
      </c>
      <c r="C47" s="12">
        <v>0</v>
      </c>
      <c r="E47" s="12">
        <v>2</v>
      </c>
      <c r="F47" s="12">
        <v>0</v>
      </c>
      <c r="H47">
        <v>5</v>
      </c>
      <c r="M47" s="12">
        <v>1</v>
      </c>
      <c r="O47" s="12">
        <v>0</v>
      </c>
      <c r="P47" s="12">
        <v>3</v>
      </c>
      <c r="R47">
        <f t="shared" si="1"/>
        <v>11</v>
      </c>
    </row>
    <row r="48" spans="1:18" x14ac:dyDescent="0.25">
      <c r="A48" s="15">
        <v>9</v>
      </c>
      <c r="B48" s="17" t="s">
        <v>340</v>
      </c>
      <c r="D48" s="12">
        <v>0</v>
      </c>
      <c r="E48" s="12">
        <v>0</v>
      </c>
      <c r="H48">
        <v>3</v>
      </c>
      <c r="R48">
        <f t="shared" si="1"/>
        <v>3</v>
      </c>
    </row>
    <row r="49" spans="1:18" x14ac:dyDescent="0.25">
      <c r="A49" s="15">
        <v>10</v>
      </c>
      <c r="B49" s="17" t="s">
        <v>341</v>
      </c>
      <c r="D49" s="12">
        <v>0</v>
      </c>
      <c r="E49" s="12">
        <v>0</v>
      </c>
      <c r="G49" s="12">
        <v>11</v>
      </c>
      <c r="K49" s="12">
        <v>1</v>
      </c>
      <c r="M49" s="12">
        <v>0</v>
      </c>
      <c r="R49">
        <f t="shared" si="1"/>
        <v>12</v>
      </c>
    </row>
    <row r="50" spans="1:18" x14ac:dyDescent="0.25">
      <c r="R50">
        <f t="shared" si="1"/>
        <v>0</v>
      </c>
    </row>
    <row r="51" spans="1:18" x14ac:dyDescent="0.25">
      <c r="A51" s="15" t="s">
        <v>431</v>
      </c>
      <c r="C51" s="12">
        <f>SUM(C52:C61)</f>
        <v>5</v>
      </c>
      <c r="D51" s="12">
        <f t="shared" ref="D51:P51" si="6">SUM(D52:D61)</f>
        <v>1</v>
      </c>
      <c r="E51" s="12">
        <f t="shared" si="6"/>
        <v>13</v>
      </c>
      <c r="F51" s="12">
        <f t="shared" si="6"/>
        <v>18</v>
      </c>
      <c r="G51" s="12">
        <f t="shared" si="6"/>
        <v>17</v>
      </c>
      <c r="H51">
        <f t="shared" si="6"/>
        <v>20</v>
      </c>
      <c r="I51" s="12">
        <f t="shared" si="6"/>
        <v>44</v>
      </c>
      <c r="J51">
        <f t="shared" si="6"/>
        <v>1</v>
      </c>
      <c r="K51" s="12">
        <f t="shared" si="6"/>
        <v>12</v>
      </c>
      <c r="L51">
        <f t="shared" si="6"/>
        <v>0</v>
      </c>
      <c r="M51" s="12">
        <f t="shared" si="6"/>
        <v>34</v>
      </c>
      <c r="N51">
        <f t="shared" si="6"/>
        <v>0</v>
      </c>
      <c r="O51" s="12">
        <f t="shared" si="6"/>
        <v>15</v>
      </c>
      <c r="P51" s="12">
        <f t="shared" si="6"/>
        <v>19</v>
      </c>
      <c r="R51">
        <f t="shared" si="1"/>
        <v>199</v>
      </c>
    </row>
    <row r="52" spans="1:18" x14ac:dyDescent="0.25">
      <c r="A52" s="15">
        <v>1</v>
      </c>
      <c r="B52" s="17" t="s">
        <v>342</v>
      </c>
      <c r="C52" s="12">
        <v>2</v>
      </c>
      <c r="D52" s="12">
        <v>0</v>
      </c>
      <c r="E52" s="12">
        <v>0</v>
      </c>
      <c r="G52" s="12">
        <v>3</v>
      </c>
      <c r="H52">
        <v>9</v>
      </c>
      <c r="I52" s="12">
        <v>4</v>
      </c>
      <c r="K52" s="12">
        <v>0</v>
      </c>
      <c r="L52">
        <v>0</v>
      </c>
      <c r="M52" s="12">
        <v>8</v>
      </c>
      <c r="P52" s="12">
        <v>5</v>
      </c>
      <c r="R52">
        <f t="shared" si="1"/>
        <v>31</v>
      </c>
    </row>
    <row r="53" spans="1:18" x14ac:dyDescent="0.25">
      <c r="A53" s="15">
        <v>2</v>
      </c>
      <c r="B53" s="17" t="s">
        <v>343</v>
      </c>
      <c r="D53" s="12">
        <v>0</v>
      </c>
      <c r="E53" s="12">
        <v>0</v>
      </c>
      <c r="G53" s="12">
        <v>0</v>
      </c>
      <c r="I53" s="12">
        <v>1</v>
      </c>
      <c r="K53" s="12">
        <v>1</v>
      </c>
      <c r="O53" s="12">
        <v>6</v>
      </c>
      <c r="P53" s="12">
        <v>0</v>
      </c>
      <c r="R53">
        <f t="shared" si="1"/>
        <v>8</v>
      </c>
    </row>
    <row r="54" spans="1:18" x14ac:dyDescent="0.25">
      <c r="A54" s="15">
        <v>3</v>
      </c>
      <c r="B54" s="17" t="s">
        <v>344</v>
      </c>
      <c r="G54" s="12">
        <v>0</v>
      </c>
      <c r="R54">
        <f t="shared" si="1"/>
        <v>0</v>
      </c>
    </row>
    <row r="55" spans="1:18" x14ac:dyDescent="0.25">
      <c r="A55" s="15">
        <v>4</v>
      </c>
      <c r="B55" s="17" t="s">
        <v>345</v>
      </c>
      <c r="D55" s="12">
        <v>1</v>
      </c>
      <c r="R55">
        <f t="shared" si="1"/>
        <v>1</v>
      </c>
    </row>
    <row r="56" spans="1:18" x14ac:dyDescent="0.25">
      <c r="A56" s="15">
        <v>5</v>
      </c>
      <c r="B56" s="17" t="s">
        <v>346</v>
      </c>
      <c r="E56" s="12">
        <v>1</v>
      </c>
      <c r="H56">
        <v>3</v>
      </c>
      <c r="I56" s="12">
        <v>30</v>
      </c>
      <c r="M56" s="12">
        <v>13</v>
      </c>
      <c r="R56">
        <f t="shared" si="1"/>
        <v>47</v>
      </c>
    </row>
    <row r="57" spans="1:18" x14ac:dyDescent="0.25">
      <c r="A57" s="15">
        <v>6</v>
      </c>
      <c r="B57" s="17" t="s">
        <v>347</v>
      </c>
      <c r="E57" s="12">
        <v>12</v>
      </c>
      <c r="G57" s="12">
        <v>0</v>
      </c>
      <c r="M57" s="12">
        <v>0</v>
      </c>
      <c r="O57" s="12">
        <v>0</v>
      </c>
      <c r="R57">
        <f t="shared" si="1"/>
        <v>12</v>
      </c>
    </row>
    <row r="58" spans="1:18" x14ac:dyDescent="0.25">
      <c r="A58" s="15">
        <v>7</v>
      </c>
      <c r="B58" s="17" t="s">
        <v>348</v>
      </c>
      <c r="C58" s="12">
        <v>3</v>
      </c>
      <c r="D58" s="12">
        <v>0</v>
      </c>
      <c r="E58" s="12">
        <v>0</v>
      </c>
      <c r="F58" s="12">
        <v>18</v>
      </c>
      <c r="G58" s="12">
        <v>13</v>
      </c>
      <c r="H58" s="12">
        <v>5</v>
      </c>
      <c r="I58" s="12">
        <v>9</v>
      </c>
      <c r="J58">
        <v>1</v>
      </c>
      <c r="K58" s="12">
        <v>10</v>
      </c>
      <c r="M58" s="12">
        <v>13</v>
      </c>
      <c r="O58" s="12">
        <v>8</v>
      </c>
      <c r="P58" s="12">
        <v>13</v>
      </c>
      <c r="Q58" s="12">
        <v>4</v>
      </c>
      <c r="R58">
        <f t="shared" si="1"/>
        <v>97</v>
      </c>
    </row>
    <row r="59" spans="1:18" x14ac:dyDescent="0.25">
      <c r="A59" s="15">
        <v>8</v>
      </c>
      <c r="B59" s="17" t="s">
        <v>349</v>
      </c>
      <c r="C59" s="12">
        <v>0</v>
      </c>
      <c r="E59" s="12">
        <v>0</v>
      </c>
      <c r="H59">
        <v>3</v>
      </c>
      <c r="R59">
        <f t="shared" si="1"/>
        <v>3</v>
      </c>
    </row>
    <row r="60" spans="1:18" x14ac:dyDescent="0.25">
      <c r="A60" s="15">
        <v>9</v>
      </c>
      <c r="B60" s="17" t="s">
        <v>350</v>
      </c>
      <c r="E60" s="12">
        <v>0</v>
      </c>
      <c r="G60" s="12">
        <v>1</v>
      </c>
      <c r="K60" s="12">
        <v>1</v>
      </c>
      <c r="M60" s="12">
        <v>0</v>
      </c>
      <c r="R60">
        <f t="shared" si="1"/>
        <v>2</v>
      </c>
    </row>
    <row r="61" spans="1:18" x14ac:dyDescent="0.25">
      <c r="A61" s="15">
        <v>10</v>
      </c>
      <c r="B61" s="17" t="s">
        <v>351</v>
      </c>
      <c r="C61" s="12">
        <v>0</v>
      </c>
      <c r="G61" s="12">
        <v>0</v>
      </c>
      <c r="I61" s="12">
        <v>0</v>
      </c>
      <c r="K61" s="12">
        <v>0</v>
      </c>
      <c r="O61" s="12">
        <v>1</v>
      </c>
      <c r="P61" s="12">
        <v>1</v>
      </c>
      <c r="R61">
        <f t="shared" si="1"/>
        <v>2</v>
      </c>
    </row>
    <row r="62" spans="1:18" x14ac:dyDescent="0.25">
      <c r="A62" s="16"/>
      <c r="B62" s="17"/>
      <c r="R62">
        <f t="shared" si="1"/>
        <v>0</v>
      </c>
    </row>
    <row r="63" spans="1:18" x14ac:dyDescent="0.25">
      <c r="A63" s="10" t="s">
        <v>352</v>
      </c>
      <c r="R63">
        <f t="shared" si="1"/>
        <v>0</v>
      </c>
    </row>
    <row r="64" spans="1:18" x14ac:dyDescent="0.25">
      <c r="A64" s="15">
        <v>1</v>
      </c>
      <c r="B64" s="17" t="s">
        <v>353</v>
      </c>
      <c r="C64" s="12">
        <v>40</v>
      </c>
      <c r="D64" s="12">
        <v>21</v>
      </c>
      <c r="E64" s="12">
        <v>36</v>
      </c>
      <c r="F64" s="12">
        <v>20</v>
      </c>
      <c r="G64" s="12">
        <v>30</v>
      </c>
      <c r="H64">
        <v>65</v>
      </c>
      <c r="I64" s="12">
        <v>40</v>
      </c>
      <c r="J64">
        <v>54</v>
      </c>
      <c r="K64" s="12">
        <v>28</v>
      </c>
      <c r="L64">
        <v>15</v>
      </c>
      <c r="M64" s="12">
        <v>49</v>
      </c>
      <c r="O64" s="12">
        <v>24</v>
      </c>
      <c r="P64" s="12">
        <v>25</v>
      </c>
      <c r="Q64" s="12">
        <v>20</v>
      </c>
      <c r="R64">
        <f t="shared" si="1"/>
        <v>467</v>
      </c>
    </row>
    <row r="65" spans="1:18" x14ac:dyDescent="0.25">
      <c r="A65" s="15">
        <v>2</v>
      </c>
      <c r="B65" s="17" t="s">
        <v>354</v>
      </c>
      <c r="D65" s="12">
        <v>0</v>
      </c>
      <c r="E65" s="12">
        <v>0</v>
      </c>
      <c r="I65" s="12">
        <v>0</v>
      </c>
      <c r="J65">
        <v>0</v>
      </c>
      <c r="M65" s="39"/>
      <c r="O65" s="12">
        <v>0</v>
      </c>
      <c r="P65" s="12">
        <v>0</v>
      </c>
      <c r="R65">
        <f t="shared" si="1"/>
        <v>0</v>
      </c>
    </row>
    <row r="66" spans="1:18" x14ac:dyDescent="0.25">
      <c r="A66" s="15">
        <v>3</v>
      </c>
      <c r="B66" s="17" t="s">
        <v>355</v>
      </c>
      <c r="D66" s="12">
        <v>0</v>
      </c>
      <c r="E66" s="12">
        <v>0</v>
      </c>
      <c r="I66" s="12">
        <v>0</v>
      </c>
      <c r="O66" s="12">
        <v>30</v>
      </c>
      <c r="P66" s="12">
        <v>35</v>
      </c>
      <c r="R66">
        <f t="shared" si="1"/>
        <v>65</v>
      </c>
    </row>
    <row r="67" spans="1:18" x14ac:dyDescent="0.25">
      <c r="A67" s="15">
        <v>4</v>
      </c>
      <c r="B67" s="17" t="s">
        <v>356</v>
      </c>
      <c r="D67" s="12">
        <v>25</v>
      </c>
      <c r="E67" s="12">
        <v>0</v>
      </c>
      <c r="I67" s="12">
        <v>0</v>
      </c>
      <c r="K67" s="12">
        <v>35</v>
      </c>
      <c r="L67">
        <v>1</v>
      </c>
      <c r="M67" s="12">
        <v>60</v>
      </c>
      <c r="P67" s="12">
        <v>25</v>
      </c>
      <c r="R67">
        <f t="shared" si="1"/>
        <v>146</v>
      </c>
    </row>
    <row r="68" spans="1:18" x14ac:dyDescent="0.25">
      <c r="A68" s="15">
        <v>5</v>
      </c>
      <c r="B68" s="17" t="s">
        <v>357</v>
      </c>
      <c r="C68" s="12">
        <v>60</v>
      </c>
      <c r="D68" s="12">
        <v>0</v>
      </c>
      <c r="E68" s="12">
        <v>0</v>
      </c>
      <c r="F68" s="12">
        <v>19</v>
      </c>
      <c r="G68" s="12">
        <v>15</v>
      </c>
      <c r="H68">
        <v>165</v>
      </c>
      <c r="I68" s="12">
        <v>13</v>
      </c>
      <c r="J68">
        <v>95</v>
      </c>
      <c r="K68" s="12">
        <v>0</v>
      </c>
      <c r="M68" s="12">
        <v>50</v>
      </c>
      <c r="O68" s="12">
        <v>6</v>
      </c>
      <c r="P68" s="12">
        <v>15</v>
      </c>
      <c r="R68">
        <f t="shared" si="1"/>
        <v>438</v>
      </c>
    </row>
    <row r="69" spans="1:18" x14ac:dyDescent="0.25">
      <c r="A69" s="15">
        <v>6</v>
      </c>
      <c r="B69" s="17" t="s">
        <v>358</v>
      </c>
      <c r="C69" s="12">
        <v>30</v>
      </c>
      <c r="D69" s="12">
        <v>15</v>
      </c>
      <c r="E69" s="12">
        <v>18</v>
      </c>
      <c r="F69" s="12">
        <v>17</v>
      </c>
      <c r="G69" s="12">
        <v>40</v>
      </c>
      <c r="H69">
        <v>67</v>
      </c>
      <c r="I69" s="12">
        <v>33</v>
      </c>
      <c r="J69">
        <v>41</v>
      </c>
      <c r="K69" s="12">
        <v>0</v>
      </c>
      <c r="M69" s="12">
        <v>50</v>
      </c>
      <c r="O69" s="12">
        <v>18</v>
      </c>
      <c r="R69">
        <f t="shared" ref="R69:R102" si="7">SUM(C69:Q69)</f>
        <v>329</v>
      </c>
    </row>
    <row r="70" spans="1:18" x14ac:dyDescent="0.25">
      <c r="A70" s="15">
        <v>7</v>
      </c>
      <c r="B70" s="17" t="s">
        <v>359</v>
      </c>
      <c r="D70" s="12">
        <v>0</v>
      </c>
      <c r="E70" s="12">
        <v>30</v>
      </c>
      <c r="F70" s="12">
        <v>0</v>
      </c>
      <c r="G70" s="12">
        <v>50</v>
      </c>
      <c r="H70">
        <v>119</v>
      </c>
      <c r="I70" s="12">
        <v>40</v>
      </c>
      <c r="K70" s="12">
        <v>0</v>
      </c>
      <c r="O70" s="12">
        <v>0</v>
      </c>
      <c r="P70" s="12">
        <v>0</v>
      </c>
      <c r="R70">
        <f t="shared" si="7"/>
        <v>239</v>
      </c>
    </row>
    <row r="71" spans="1:18" x14ac:dyDescent="0.25">
      <c r="A71" s="15">
        <v>8</v>
      </c>
      <c r="B71" s="17" t="s">
        <v>360</v>
      </c>
      <c r="D71" s="12">
        <v>0</v>
      </c>
      <c r="E71" s="12">
        <v>0</v>
      </c>
      <c r="F71" s="12">
        <v>0</v>
      </c>
      <c r="G71" s="12">
        <v>20</v>
      </c>
      <c r="K71" s="12">
        <v>0</v>
      </c>
      <c r="M71" s="12">
        <v>0</v>
      </c>
      <c r="P71" s="12">
        <v>0</v>
      </c>
      <c r="R71">
        <f t="shared" si="7"/>
        <v>20</v>
      </c>
    </row>
    <row r="72" spans="1:18" x14ac:dyDescent="0.25">
      <c r="A72" s="15">
        <v>9</v>
      </c>
      <c r="B72" s="17" t="s">
        <v>361</v>
      </c>
      <c r="D72" s="12">
        <v>0</v>
      </c>
      <c r="E72" s="12">
        <v>0</v>
      </c>
      <c r="G72" s="12">
        <v>18</v>
      </c>
      <c r="H72" s="12">
        <v>110</v>
      </c>
      <c r="I72" s="12">
        <v>0</v>
      </c>
      <c r="K72" s="12">
        <v>0</v>
      </c>
      <c r="M72" s="12">
        <v>0</v>
      </c>
      <c r="O72" s="12">
        <v>0</v>
      </c>
      <c r="R72">
        <f t="shared" si="7"/>
        <v>128</v>
      </c>
    </row>
    <row r="73" spans="1:18" x14ac:dyDescent="0.25">
      <c r="A73" s="15">
        <v>10</v>
      </c>
      <c r="B73" s="17" t="s">
        <v>362</v>
      </c>
      <c r="D73" s="12">
        <v>0</v>
      </c>
      <c r="E73" s="12">
        <v>0</v>
      </c>
      <c r="F73" s="12">
        <v>0</v>
      </c>
      <c r="G73" s="12">
        <v>30</v>
      </c>
      <c r="I73" s="12">
        <v>0</v>
      </c>
      <c r="K73" s="12">
        <v>0</v>
      </c>
      <c r="O73" s="12">
        <v>0</v>
      </c>
      <c r="P73" s="12">
        <v>0</v>
      </c>
      <c r="R73">
        <f t="shared" si="7"/>
        <v>30</v>
      </c>
    </row>
    <row r="74" spans="1:18" x14ac:dyDescent="0.25">
      <c r="A74" s="15">
        <v>11</v>
      </c>
      <c r="B74" s="17" t="s">
        <v>363</v>
      </c>
      <c r="D74" s="12">
        <v>0</v>
      </c>
      <c r="E74" s="12">
        <v>0</v>
      </c>
      <c r="I74" s="12">
        <v>0</v>
      </c>
      <c r="R74">
        <f t="shared" si="7"/>
        <v>0</v>
      </c>
    </row>
    <row r="75" spans="1:18" x14ac:dyDescent="0.25">
      <c r="A75" s="15">
        <v>12</v>
      </c>
      <c r="B75" s="17" t="s">
        <v>364</v>
      </c>
      <c r="D75" s="12">
        <v>0</v>
      </c>
      <c r="E75" s="12">
        <v>0</v>
      </c>
      <c r="F75" s="12">
        <v>15</v>
      </c>
      <c r="G75" s="12">
        <v>150</v>
      </c>
      <c r="I75" s="12">
        <v>0</v>
      </c>
      <c r="M75" s="12">
        <v>0</v>
      </c>
      <c r="Q75">
        <v>45</v>
      </c>
      <c r="R75">
        <f t="shared" si="7"/>
        <v>210</v>
      </c>
    </row>
    <row r="76" spans="1:18" x14ac:dyDescent="0.25">
      <c r="R76">
        <f t="shared" si="7"/>
        <v>0</v>
      </c>
    </row>
    <row r="77" spans="1:18" x14ac:dyDescent="0.25">
      <c r="A77" s="10" t="s">
        <v>365</v>
      </c>
      <c r="C77" s="12">
        <f>SUM(C78,C82)</f>
        <v>0</v>
      </c>
      <c r="D77" s="12">
        <f t="shared" ref="D77:P77" si="8">SUM(D78,D82)</f>
        <v>2</v>
      </c>
      <c r="E77" s="12">
        <f t="shared" si="8"/>
        <v>2</v>
      </c>
      <c r="F77" s="12">
        <f t="shared" si="8"/>
        <v>0</v>
      </c>
      <c r="G77" s="12">
        <f t="shared" si="8"/>
        <v>2</v>
      </c>
      <c r="H77">
        <f t="shared" si="8"/>
        <v>0</v>
      </c>
      <c r="I77" s="12">
        <f t="shared" si="8"/>
        <v>0</v>
      </c>
      <c r="J77">
        <v>1</v>
      </c>
      <c r="K77" s="12">
        <f t="shared" si="8"/>
        <v>0</v>
      </c>
      <c r="L77">
        <f t="shared" si="8"/>
        <v>0</v>
      </c>
      <c r="M77" s="12">
        <f t="shared" si="8"/>
        <v>2</v>
      </c>
      <c r="N77">
        <f t="shared" si="8"/>
        <v>0</v>
      </c>
      <c r="O77" s="12">
        <f t="shared" si="8"/>
        <v>0</v>
      </c>
      <c r="P77" s="12">
        <f t="shared" si="8"/>
        <v>0</v>
      </c>
      <c r="R77">
        <f t="shared" si="7"/>
        <v>9</v>
      </c>
    </row>
    <row r="78" spans="1:18" x14ac:dyDescent="0.25">
      <c r="A78" s="15">
        <v>1</v>
      </c>
      <c r="B78" s="17" t="s">
        <v>366</v>
      </c>
      <c r="C78" s="12">
        <f>SUM(C79:C81)</f>
        <v>0</v>
      </c>
      <c r="D78" s="12">
        <v>2</v>
      </c>
      <c r="E78" s="12">
        <v>2</v>
      </c>
      <c r="F78" s="12">
        <f t="shared" ref="F78:P78" si="9">SUM(F79:F81)</f>
        <v>0</v>
      </c>
      <c r="G78" s="12">
        <f t="shared" si="9"/>
        <v>1</v>
      </c>
      <c r="I78" s="12">
        <f t="shared" si="9"/>
        <v>0</v>
      </c>
      <c r="K78" s="12">
        <f t="shared" si="9"/>
        <v>0</v>
      </c>
      <c r="L78">
        <f t="shared" si="9"/>
        <v>0</v>
      </c>
      <c r="M78" s="12">
        <v>1</v>
      </c>
      <c r="N78">
        <f t="shared" si="9"/>
        <v>0</v>
      </c>
      <c r="O78" s="12">
        <v>0</v>
      </c>
      <c r="P78" s="12">
        <f t="shared" si="9"/>
        <v>0</v>
      </c>
      <c r="R78">
        <f t="shared" si="7"/>
        <v>6</v>
      </c>
    </row>
    <row r="79" spans="1:18" x14ac:dyDescent="0.25">
      <c r="A79" s="15">
        <v>1.1000000000000001</v>
      </c>
      <c r="B79" s="17" t="s">
        <v>367</v>
      </c>
      <c r="D79" s="12">
        <v>1</v>
      </c>
      <c r="E79" s="12">
        <v>1</v>
      </c>
      <c r="G79" s="12">
        <v>1</v>
      </c>
      <c r="M79" s="12">
        <v>1</v>
      </c>
      <c r="O79" s="12">
        <v>0</v>
      </c>
      <c r="R79">
        <f t="shared" si="7"/>
        <v>4</v>
      </c>
    </row>
    <row r="80" spans="1:18" x14ac:dyDescent="0.25">
      <c r="A80" s="15">
        <v>1.2</v>
      </c>
      <c r="B80" s="17" t="s">
        <v>368</v>
      </c>
      <c r="D80" s="12">
        <v>1</v>
      </c>
      <c r="E80" s="12">
        <v>1</v>
      </c>
      <c r="M80" s="12">
        <v>1</v>
      </c>
      <c r="O80" s="12">
        <v>0</v>
      </c>
      <c r="R80">
        <f t="shared" si="7"/>
        <v>3</v>
      </c>
    </row>
    <row r="81" spans="1:18" x14ac:dyDescent="0.25">
      <c r="A81" s="15">
        <v>1.3</v>
      </c>
      <c r="B81" s="17" t="s">
        <v>369</v>
      </c>
      <c r="E81" s="12">
        <v>0</v>
      </c>
      <c r="M81" s="12">
        <v>0</v>
      </c>
      <c r="R81">
        <f t="shared" si="7"/>
        <v>0</v>
      </c>
    </row>
    <row r="82" spans="1:18" x14ac:dyDescent="0.25">
      <c r="A82" s="15">
        <v>2</v>
      </c>
      <c r="B82" s="17" t="s">
        <v>370</v>
      </c>
      <c r="G82" s="12">
        <v>1</v>
      </c>
      <c r="I82" s="12">
        <v>0</v>
      </c>
      <c r="M82" s="12">
        <v>1</v>
      </c>
      <c r="R82">
        <f t="shared" si="7"/>
        <v>2</v>
      </c>
    </row>
    <row r="83" spans="1:18" x14ac:dyDescent="0.25">
      <c r="A83" s="15">
        <v>3</v>
      </c>
      <c r="B83" s="17" t="s">
        <v>371</v>
      </c>
      <c r="D83" s="12">
        <v>1</v>
      </c>
      <c r="E83" s="12">
        <v>1</v>
      </c>
      <c r="R83">
        <f t="shared" si="7"/>
        <v>2</v>
      </c>
    </row>
    <row r="84" spans="1:18" ht="30" x14ac:dyDescent="0.25">
      <c r="A84" s="15">
        <v>4</v>
      </c>
      <c r="B84" s="17" t="s">
        <v>372</v>
      </c>
      <c r="D84" s="12">
        <v>1</v>
      </c>
      <c r="R84">
        <f t="shared" si="7"/>
        <v>1</v>
      </c>
    </row>
    <row r="85" spans="1:18" x14ac:dyDescent="0.25">
      <c r="R85">
        <f t="shared" si="7"/>
        <v>0</v>
      </c>
    </row>
    <row r="86" spans="1:18" x14ac:dyDescent="0.25">
      <c r="A86" s="10" t="s">
        <v>373</v>
      </c>
      <c r="R86">
        <f t="shared" si="7"/>
        <v>0</v>
      </c>
    </row>
    <row r="87" spans="1:18" x14ac:dyDescent="0.25">
      <c r="A87" s="15">
        <v>1</v>
      </c>
      <c r="B87" s="17" t="s">
        <v>374</v>
      </c>
      <c r="D87" s="12">
        <v>0</v>
      </c>
      <c r="E87" s="12">
        <v>0</v>
      </c>
      <c r="G87" s="12">
        <v>5</v>
      </c>
      <c r="Q87">
        <v>2</v>
      </c>
      <c r="R87">
        <f t="shared" si="7"/>
        <v>7</v>
      </c>
    </row>
    <row r="88" spans="1:18" x14ac:dyDescent="0.25">
      <c r="A88" s="16">
        <v>2</v>
      </c>
      <c r="B88" s="17" t="s">
        <v>403</v>
      </c>
      <c r="D88" s="12">
        <v>0</v>
      </c>
      <c r="E88" s="12">
        <v>0</v>
      </c>
      <c r="H88">
        <v>3</v>
      </c>
      <c r="I88" s="12">
        <v>0</v>
      </c>
      <c r="O88" s="12">
        <v>0</v>
      </c>
      <c r="Q88">
        <v>2</v>
      </c>
      <c r="R88">
        <f t="shared" si="7"/>
        <v>5</v>
      </c>
    </row>
    <row r="89" spans="1:18" x14ac:dyDescent="0.25">
      <c r="A89" s="15">
        <v>3</v>
      </c>
      <c r="B89" s="17" t="s">
        <v>376</v>
      </c>
      <c r="D89" s="12">
        <v>0</v>
      </c>
      <c r="E89" s="12">
        <v>0</v>
      </c>
      <c r="G89" s="12">
        <v>0</v>
      </c>
      <c r="H89">
        <v>25</v>
      </c>
      <c r="I89" s="12">
        <v>0</v>
      </c>
      <c r="J89">
        <v>11</v>
      </c>
      <c r="R89">
        <f t="shared" si="7"/>
        <v>36</v>
      </c>
    </row>
    <row r="90" spans="1:18" x14ac:dyDescent="0.25">
      <c r="A90" s="15">
        <v>4</v>
      </c>
      <c r="B90" s="17" t="s">
        <v>377</v>
      </c>
      <c r="C90" s="12">
        <v>8</v>
      </c>
      <c r="D90" s="12">
        <v>12</v>
      </c>
      <c r="E90" s="12">
        <v>0</v>
      </c>
      <c r="H90" s="12">
        <v>5</v>
      </c>
      <c r="I90" s="12">
        <v>0</v>
      </c>
      <c r="M90" s="12">
        <v>0</v>
      </c>
      <c r="O90" s="12">
        <v>8</v>
      </c>
      <c r="R90">
        <f t="shared" si="7"/>
        <v>33</v>
      </c>
    </row>
    <row r="91" spans="1:18" x14ac:dyDescent="0.25">
      <c r="A91" s="15">
        <v>5</v>
      </c>
      <c r="B91" s="17" t="s">
        <v>378</v>
      </c>
      <c r="C91" s="12">
        <v>1</v>
      </c>
      <c r="D91" s="12">
        <v>0</v>
      </c>
      <c r="E91" s="12">
        <v>0</v>
      </c>
      <c r="G91" s="12">
        <v>2</v>
      </c>
      <c r="I91" s="12">
        <v>1</v>
      </c>
      <c r="P91" s="12">
        <v>13</v>
      </c>
      <c r="R91">
        <f t="shared" si="7"/>
        <v>17</v>
      </c>
    </row>
    <row r="92" spans="1:18" ht="30" x14ac:dyDescent="0.25">
      <c r="A92" s="15">
        <v>6</v>
      </c>
      <c r="B92" s="17" t="s">
        <v>379</v>
      </c>
      <c r="E92" s="12">
        <v>0</v>
      </c>
      <c r="I92" s="12">
        <v>0</v>
      </c>
      <c r="R92">
        <f t="shared" si="7"/>
        <v>0</v>
      </c>
    </row>
    <row r="93" spans="1:18" x14ac:dyDescent="0.25">
      <c r="A93" s="15">
        <v>7</v>
      </c>
      <c r="B93" s="17" t="s">
        <v>380</v>
      </c>
      <c r="D93" s="12">
        <v>0</v>
      </c>
      <c r="E93" s="12">
        <v>1</v>
      </c>
      <c r="I93" s="12">
        <v>0</v>
      </c>
      <c r="R93">
        <f t="shared" si="7"/>
        <v>1</v>
      </c>
    </row>
    <row r="94" spans="1:18" x14ac:dyDescent="0.25">
      <c r="A94" s="16">
        <v>8</v>
      </c>
      <c r="B94" s="17" t="s">
        <v>381</v>
      </c>
      <c r="H94">
        <v>5</v>
      </c>
      <c r="I94" s="12">
        <v>0</v>
      </c>
      <c r="P94" s="12">
        <v>2</v>
      </c>
      <c r="R94">
        <f t="shared" si="7"/>
        <v>7</v>
      </c>
    </row>
    <row r="95" spans="1:18" x14ac:dyDescent="0.25">
      <c r="A95" s="15">
        <v>9</v>
      </c>
      <c r="B95" s="17" t="s">
        <v>382</v>
      </c>
      <c r="F95" s="12">
        <v>1</v>
      </c>
      <c r="G95" s="12">
        <v>1</v>
      </c>
      <c r="H95">
        <v>1</v>
      </c>
      <c r="I95" s="12">
        <v>0</v>
      </c>
      <c r="J95">
        <v>5</v>
      </c>
      <c r="P95" s="12">
        <v>1</v>
      </c>
      <c r="R95">
        <f t="shared" si="7"/>
        <v>9</v>
      </c>
    </row>
    <row r="96" spans="1:18" x14ac:dyDescent="0.25">
      <c r="A96" s="15">
        <v>10</v>
      </c>
      <c r="B96" s="17" t="s">
        <v>383</v>
      </c>
      <c r="O96" s="12">
        <v>0</v>
      </c>
      <c r="P96" s="12">
        <v>1</v>
      </c>
      <c r="R96">
        <f t="shared" si="7"/>
        <v>1</v>
      </c>
    </row>
    <row r="97" spans="1:18" x14ac:dyDescent="0.25">
      <c r="A97" s="15">
        <v>11</v>
      </c>
      <c r="B97" s="17" t="s">
        <v>384</v>
      </c>
      <c r="J97" t="s">
        <v>408</v>
      </c>
      <c r="R97">
        <f t="shared" si="7"/>
        <v>0</v>
      </c>
    </row>
    <row r="98" spans="1:18" x14ac:dyDescent="0.25">
      <c r="A98" s="15">
        <v>12</v>
      </c>
      <c r="B98" s="17" t="s">
        <v>385</v>
      </c>
      <c r="R98">
        <f t="shared" si="7"/>
        <v>0</v>
      </c>
    </row>
    <row r="99" spans="1:18" x14ac:dyDescent="0.25">
      <c r="A99" s="15">
        <v>13</v>
      </c>
      <c r="B99" s="17" t="s">
        <v>386</v>
      </c>
      <c r="R99">
        <f t="shared" si="7"/>
        <v>0</v>
      </c>
    </row>
    <row r="100" spans="1:18" x14ac:dyDescent="0.25">
      <c r="A100" s="16">
        <v>14</v>
      </c>
      <c r="B100" s="17" t="s">
        <v>387</v>
      </c>
      <c r="D100" s="12">
        <v>1</v>
      </c>
      <c r="E100" s="12">
        <v>0</v>
      </c>
      <c r="H100">
        <v>1</v>
      </c>
      <c r="M100" s="12">
        <v>1</v>
      </c>
      <c r="R100">
        <f t="shared" si="7"/>
        <v>3</v>
      </c>
    </row>
    <row r="101" spans="1:18" x14ac:dyDescent="0.25">
      <c r="A101" s="15">
        <v>15</v>
      </c>
      <c r="B101" s="17" t="s">
        <v>388</v>
      </c>
      <c r="R101">
        <f t="shared" si="7"/>
        <v>0</v>
      </c>
    </row>
    <row r="102" spans="1:18" x14ac:dyDescent="0.25">
      <c r="R102">
        <f t="shared" si="7"/>
        <v>0</v>
      </c>
    </row>
    <row r="112" spans="1:18" x14ac:dyDescent="0.25">
      <c r="A112" s="16"/>
      <c r="B112" s="17"/>
    </row>
    <row r="121" spans="1:2" x14ac:dyDescent="0.25">
      <c r="A121" s="16"/>
      <c r="B121" s="17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2"/>
  <sheetViews>
    <sheetView zoomScale="99" zoomScaleNormal="90" workbookViewId="0">
      <pane xSplit="2" ySplit="3" topLeftCell="C4" activePane="bottomRight" state="frozen"/>
      <selection activeCell="A2" sqref="A2"/>
      <selection pane="topRight" activeCell="B2" sqref="B2"/>
      <selection pane="bottomLeft" activeCell="A4" sqref="A4"/>
      <selection pane="bottomRight" activeCell="Q11" sqref="Q11"/>
    </sheetView>
  </sheetViews>
  <sheetFormatPr defaultRowHeight="15" x14ac:dyDescent="0.25"/>
  <cols>
    <col min="1" max="1" width="6.42578125" style="15" customWidth="1"/>
    <col min="2" max="2" width="46.28515625" customWidth="1"/>
    <col min="3" max="3" width="14" style="12" bestFit="1" customWidth="1"/>
    <col min="4" max="4" width="11.5703125" style="12" bestFit="1" customWidth="1"/>
    <col min="5" max="5" width="12.5703125" bestFit="1" customWidth="1"/>
    <col min="6" max="6" width="8.140625" style="12" bestFit="1" customWidth="1"/>
    <col min="7" max="7" width="11.42578125" style="12" bestFit="1" customWidth="1"/>
    <col min="8" max="8" width="18.28515625" style="12" bestFit="1" customWidth="1"/>
    <col min="9" max="9" width="11.5703125" style="12" bestFit="1" customWidth="1"/>
    <col min="10" max="10" width="7.85546875" bestFit="1" customWidth="1"/>
    <col min="11" max="11" width="9.140625" style="12" customWidth="1"/>
    <col min="12" max="12" width="8.85546875" bestFit="1" customWidth="1"/>
    <col min="13" max="13" width="17.28515625" style="12" bestFit="1" customWidth="1"/>
    <col min="14" max="14" width="14" style="12" bestFit="1" customWidth="1"/>
    <col min="15" max="15" width="14.7109375" style="12" bestFit="1" customWidth="1"/>
    <col min="16" max="16" width="11.140625" style="12" bestFit="1" customWidth="1"/>
    <col min="17" max="17" width="9.5703125" bestFit="1" customWidth="1"/>
    <col min="18" max="18" width="10" style="12" bestFit="1" customWidth="1"/>
    <col min="19" max="19" width="9.5703125" bestFit="1" customWidth="1"/>
    <col min="20" max="20" width="9.140625" customWidth="1"/>
  </cols>
  <sheetData>
    <row r="1" spans="1:19" hidden="1" x14ac:dyDescent="0.25">
      <c r="A1" s="15" t="s">
        <v>41</v>
      </c>
    </row>
    <row r="2" spans="1:19" x14ac:dyDescent="0.25">
      <c r="C2" s="34" t="s">
        <v>83</v>
      </c>
      <c r="D2" s="34" t="s">
        <v>84</v>
      </c>
      <c r="E2" s="1" t="s">
        <v>85</v>
      </c>
      <c r="F2" s="34" t="s">
        <v>400</v>
      </c>
      <c r="G2" s="34" t="s">
        <v>86</v>
      </c>
      <c r="H2" s="34" t="s">
        <v>87</v>
      </c>
      <c r="I2" s="34" t="s">
        <v>88</v>
      </c>
      <c r="J2" s="2" t="s">
        <v>89</v>
      </c>
      <c r="K2" s="34" t="s">
        <v>90</v>
      </c>
      <c r="L2" s="1" t="s">
        <v>91</v>
      </c>
      <c r="M2" s="34" t="s">
        <v>92</v>
      </c>
      <c r="N2" s="34" t="s">
        <v>93</v>
      </c>
      <c r="O2" s="34" t="s">
        <v>94</v>
      </c>
      <c r="P2" s="34" t="s">
        <v>95</v>
      </c>
      <c r="Q2" s="1" t="s">
        <v>89</v>
      </c>
      <c r="R2" s="34" t="s">
        <v>96</v>
      </c>
      <c r="S2" s="1" t="s">
        <v>162</v>
      </c>
    </row>
    <row r="3" spans="1:19" x14ac:dyDescent="0.25">
      <c r="C3" s="34" t="s">
        <v>402</v>
      </c>
      <c r="D3" s="34" t="s">
        <v>97</v>
      </c>
      <c r="E3" s="1" t="s">
        <v>31</v>
      </c>
      <c r="F3" s="34" t="s">
        <v>101</v>
      </c>
      <c r="G3" s="34" t="s">
        <v>98</v>
      </c>
      <c r="H3" s="34" t="s">
        <v>99</v>
      </c>
      <c r="I3" s="34" t="s">
        <v>100</v>
      </c>
      <c r="J3" s="2" t="s">
        <v>101</v>
      </c>
      <c r="K3" s="34" t="s">
        <v>102</v>
      </c>
      <c r="L3" s="1" t="s">
        <v>103</v>
      </c>
      <c r="M3" s="34" t="s">
        <v>104</v>
      </c>
      <c r="N3" s="34" t="s">
        <v>105</v>
      </c>
      <c r="O3" s="34" t="s">
        <v>106</v>
      </c>
      <c r="P3" s="34" t="s">
        <v>107</v>
      </c>
      <c r="Q3" s="1" t="s">
        <v>38</v>
      </c>
      <c r="R3" s="34" t="s">
        <v>108</v>
      </c>
    </row>
    <row r="4" spans="1:19" x14ac:dyDescent="0.25">
      <c r="A4" s="10" t="s">
        <v>0</v>
      </c>
      <c r="C4" s="12">
        <v>7</v>
      </c>
      <c r="D4" s="12">
        <v>12</v>
      </c>
      <c r="E4">
        <f t="shared" ref="E4:Q4" si="0">SUM(E5:E9)</f>
        <v>0</v>
      </c>
      <c r="F4" s="12">
        <v>0</v>
      </c>
      <c r="G4" s="12">
        <v>10</v>
      </c>
      <c r="H4" s="12">
        <v>3</v>
      </c>
      <c r="I4" s="12">
        <f t="shared" si="0"/>
        <v>0</v>
      </c>
      <c r="J4">
        <v>2</v>
      </c>
      <c r="K4" s="12">
        <v>0</v>
      </c>
      <c r="L4">
        <f t="shared" si="0"/>
        <v>0</v>
      </c>
      <c r="M4" s="12">
        <v>34</v>
      </c>
      <c r="N4" s="12">
        <v>10</v>
      </c>
      <c r="O4" s="12">
        <v>7</v>
      </c>
      <c r="P4" s="12">
        <v>4</v>
      </c>
      <c r="Q4">
        <f t="shared" si="0"/>
        <v>0</v>
      </c>
      <c r="R4" s="12">
        <v>6</v>
      </c>
      <c r="S4">
        <f>SUM(C4:R4)</f>
        <v>95</v>
      </c>
    </row>
    <row r="5" spans="1:19" x14ac:dyDescent="0.25">
      <c r="A5" s="15" t="s">
        <v>1</v>
      </c>
      <c r="S5">
        <f t="shared" ref="S5:S68" si="1">SUM(C5:R5)</f>
        <v>0</v>
      </c>
    </row>
    <row r="6" spans="1:19" x14ac:dyDescent="0.25">
      <c r="A6" s="15" t="s">
        <v>2</v>
      </c>
      <c r="O6" s="12">
        <v>10</v>
      </c>
      <c r="S6">
        <f t="shared" si="1"/>
        <v>10</v>
      </c>
    </row>
    <row r="7" spans="1:19" x14ac:dyDescent="0.25">
      <c r="A7" s="15" t="s">
        <v>3</v>
      </c>
      <c r="S7">
        <f t="shared" si="1"/>
        <v>0</v>
      </c>
    </row>
    <row r="8" spans="1:19" x14ac:dyDescent="0.25">
      <c r="A8" s="15" t="s">
        <v>4</v>
      </c>
      <c r="S8">
        <f t="shared" si="1"/>
        <v>0</v>
      </c>
    </row>
    <row r="9" spans="1:19" x14ac:dyDescent="0.25">
      <c r="A9" s="15" t="s">
        <v>5</v>
      </c>
      <c r="K9" s="12">
        <v>0</v>
      </c>
      <c r="S9">
        <f t="shared" si="1"/>
        <v>0</v>
      </c>
    </row>
    <row r="10" spans="1:19" x14ac:dyDescent="0.25">
      <c r="A10" s="10" t="s">
        <v>309</v>
      </c>
      <c r="B10" s="2"/>
      <c r="C10" s="12">
        <v>397</v>
      </c>
      <c r="D10" s="12">
        <f t="shared" ref="D10:R10" si="2">D17-D22</f>
        <v>0</v>
      </c>
      <c r="E10">
        <f t="shared" si="2"/>
        <v>0</v>
      </c>
      <c r="F10" s="12">
        <f t="shared" si="2"/>
        <v>1</v>
      </c>
      <c r="G10" s="12">
        <f t="shared" si="2"/>
        <v>2384</v>
      </c>
      <c r="H10" s="12">
        <f t="shared" si="2"/>
        <v>372</v>
      </c>
      <c r="I10" s="12">
        <f>I17-I22</f>
        <v>60</v>
      </c>
      <c r="J10">
        <f t="shared" si="2"/>
        <v>216</v>
      </c>
      <c r="K10" s="12">
        <f t="shared" si="2"/>
        <v>97</v>
      </c>
      <c r="L10">
        <f t="shared" si="2"/>
        <v>0</v>
      </c>
      <c r="M10" s="12">
        <v>19376</v>
      </c>
      <c r="N10" s="12">
        <f t="shared" si="2"/>
        <v>287</v>
      </c>
      <c r="O10" s="12">
        <f t="shared" si="2"/>
        <v>274</v>
      </c>
      <c r="P10" s="12">
        <v>87</v>
      </c>
      <c r="Q10">
        <f t="shared" si="2"/>
        <v>76</v>
      </c>
      <c r="R10" s="12">
        <f t="shared" si="2"/>
        <v>378</v>
      </c>
      <c r="S10">
        <f t="shared" si="1"/>
        <v>24005</v>
      </c>
    </row>
    <row r="11" spans="1:19" x14ac:dyDescent="0.25">
      <c r="A11" s="15" t="s">
        <v>310</v>
      </c>
      <c r="C11" s="12">
        <v>301</v>
      </c>
      <c r="D11" s="12">
        <v>0</v>
      </c>
      <c r="F11" s="12">
        <v>0</v>
      </c>
      <c r="G11" s="12">
        <v>457</v>
      </c>
      <c r="H11" s="12">
        <v>127</v>
      </c>
      <c r="K11" s="12">
        <v>97</v>
      </c>
      <c r="M11" s="12">
        <v>19406</v>
      </c>
      <c r="N11" s="12">
        <v>287</v>
      </c>
      <c r="P11" s="12">
        <v>88</v>
      </c>
      <c r="Q11" s="12">
        <v>76</v>
      </c>
      <c r="S11">
        <f t="shared" si="1"/>
        <v>20839</v>
      </c>
    </row>
    <row r="12" spans="1:19" x14ac:dyDescent="0.25">
      <c r="A12" s="15" t="s">
        <v>311</v>
      </c>
      <c r="C12" s="12">
        <v>121</v>
      </c>
      <c r="D12" s="12">
        <v>0</v>
      </c>
      <c r="F12" s="12">
        <v>0</v>
      </c>
      <c r="G12" s="12">
        <v>734</v>
      </c>
      <c r="H12" s="12">
        <v>59</v>
      </c>
      <c r="K12" s="12">
        <v>0</v>
      </c>
      <c r="M12" s="12">
        <v>196</v>
      </c>
      <c r="N12" s="12">
        <v>0</v>
      </c>
      <c r="P12" s="12">
        <v>20</v>
      </c>
      <c r="S12">
        <f t="shared" si="1"/>
        <v>1130</v>
      </c>
    </row>
    <row r="13" spans="1:19" x14ac:dyDescent="0.25">
      <c r="A13" s="15">
        <v>1</v>
      </c>
      <c r="B13" t="s">
        <v>312</v>
      </c>
      <c r="C13" s="12">
        <v>422</v>
      </c>
      <c r="D13" s="12">
        <v>0</v>
      </c>
      <c r="F13" s="12">
        <v>0</v>
      </c>
      <c r="G13" s="12">
        <v>1193</v>
      </c>
      <c r="H13" s="12">
        <v>186</v>
      </c>
      <c r="I13" s="12">
        <v>60</v>
      </c>
      <c r="J13">
        <v>216</v>
      </c>
      <c r="K13" s="12">
        <v>0</v>
      </c>
      <c r="M13" s="12">
        <v>3401</v>
      </c>
      <c r="O13" s="12">
        <v>273</v>
      </c>
      <c r="R13" s="12">
        <v>379</v>
      </c>
      <c r="S13">
        <f t="shared" si="1"/>
        <v>6130</v>
      </c>
    </row>
    <row r="14" spans="1:19" x14ac:dyDescent="0.25">
      <c r="A14" s="15">
        <v>2</v>
      </c>
      <c r="B14" t="s">
        <v>313</v>
      </c>
      <c r="C14" s="12">
        <v>0</v>
      </c>
      <c r="D14" s="12">
        <v>1</v>
      </c>
      <c r="F14" s="12">
        <v>1</v>
      </c>
      <c r="G14" s="12">
        <v>3</v>
      </c>
      <c r="H14" s="12">
        <v>0</v>
      </c>
      <c r="I14" s="12">
        <v>0</v>
      </c>
      <c r="M14" s="12">
        <v>2</v>
      </c>
      <c r="O14" s="12">
        <v>1</v>
      </c>
      <c r="P14" s="12">
        <v>0</v>
      </c>
      <c r="R14" s="12">
        <v>0</v>
      </c>
      <c r="S14">
        <f t="shared" si="1"/>
        <v>8</v>
      </c>
    </row>
    <row r="15" spans="1:19" x14ac:dyDescent="0.25">
      <c r="A15" s="15">
        <v>3</v>
      </c>
      <c r="B15" t="s">
        <v>314</v>
      </c>
      <c r="F15" s="12">
        <v>0</v>
      </c>
      <c r="I15" s="12">
        <v>0</v>
      </c>
      <c r="M15" s="12">
        <v>2</v>
      </c>
      <c r="S15">
        <f t="shared" si="1"/>
        <v>2</v>
      </c>
    </row>
    <row r="16" spans="1:19" x14ac:dyDescent="0.25">
      <c r="A16" s="15">
        <v>4</v>
      </c>
      <c r="B16" t="s">
        <v>315</v>
      </c>
      <c r="F16" s="12">
        <v>0</v>
      </c>
      <c r="S16">
        <f t="shared" si="1"/>
        <v>0</v>
      </c>
    </row>
    <row r="17" spans="1:19" x14ac:dyDescent="0.25">
      <c r="A17" s="10" t="s">
        <v>428</v>
      </c>
      <c r="C17" s="12">
        <f>SUM(C11:C16)</f>
        <v>844</v>
      </c>
      <c r="D17">
        <f t="shared" ref="D17:R17" si="3">SUM(D11:D16)</f>
        <v>1</v>
      </c>
      <c r="E17">
        <f t="shared" si="3"/>
        <v>0</v>
      </c>
      <c r="F17">
        <f t="shared" si="3"/>
        <v>1</v>
      </c>
      <c r="G17">
        <f t="shared" si="3"/>
        <v>2387</v>
      </c>
      <c r="H17" s="12">
        <f t="shared" si="3"/>
        <v>372</v>
      </c>
      <c r="I17" s="12">
        <f t="shared" si="3"/>
        <v>60</v>
      </c>
      <c r="J17">
        <f t="shared" si="3"/>
        <v>216</v>
      </c>
      <c r="K17" s="12">
        <f t="shared" si="3"/>
        <v>97</v>
      </c>
      <c r="L17">
        <f t="shared" si="3"/>
        <v>0</v>
      </c>
      <c r="M17">
        <f t="shared" si="3"/>
        <v>23007</v>
      </c>
      <c r="N17" s="12">
        <f t="shared" si="3"/>
        <v>287</v>
      </c>
      <c r="O17" s="12">
        <f t="shared" si="3"/>
        <v>274</v>
      </c>
      <c r="P17" s="12">
        <f t="shared" si="3"/>
        <v>108</v>
      </c>
      <c r="Q17">
        <f t="shared" si="3"/>
        <v>76</v>
      </c>
      <c r="R17" s="12">
        <f t="shared" si="3"/>
        <v>379</v>
      </c>
      <c r="S17">
        <f t="shared" si="1"/>
        <v>28109</v>
      </c>
    </row>
    <row r="18" spans="1:19" x14ac:dyDescent="0.25">
      <c r="A18" s="16"/>
      <c r="B18" s="17"/>
      <c r="S18">
        <f t="shared" si="1"/>
        <v>0</v>
      </c>
    </row>
    <row r="19" spans="1:19" x14ac:dyDescent="0.25">
      <c r="A19" s="15">
        <v>5</v>
      </c>
      <c r="B19" t="s">
        <v>316</v>
      </c>
      <c r="F19" s="12">
        <v>0</v>
      </c>
      <c r="G19" s="12">
        <v>0</v>
      </c>
      <c r="S19">
        <f t="shared" si="1"/>
        <v>0</v>
      </c>
    </row>
    <row r="20" spans="1:19" x14ac:dyDescent="0.25">
      <c r="A20" s="15">
        <v>6</v>
      </c>
      <c r="B20" t="s">
        <v>317</v>
      </c>
      <c r="F20" s="12">
        <v>0</v>
      </c>
      <c r="G20" s="12">
        <v>0</v>
      </c>
      <c r="S20">
        <f t="shared" si="1"/>
        <v>0</v>
      </c>
    </row>
    <row r="21" spans="1:19" x14ac:dyDescent="0.25">
      <c r="A21" s="15">
        <v>7</v>
      </c>
      <c r="B21" t="s">
        <v>318</v>
      </c>
      <c r="C21" s="12">
        <v>2</v>
      </c>
      <c r="D21" s="12">
        <v>1</v>
      </c>
      <c r="G21" s="12">
        <v>3</v>
      </c>
      <c r="H21" s="12">
        <v>0</v>
      </c>
      <c r="K21" s="12">
        <v>0</v>
      </c>
      <c r="M21" s="12">
        <v>7</v>
      </c>
      <c r="R21" s="12">
        <v>1</v>
      </c>
      <c r="S21">
        <f t="shared" si="1"/>
        <v>14</v>
      </c>
    </row>
    <row r="22" spans="1:19" x14ac:dyDescent="0.25">
      <c r="A22" s="10" t="s">
        <v>429</v>
      </c>
      <c r="C22" s="12">
        <f>SUM(C19:C21)</f>
        <v>2</v>
      </c>
      <c r="D22" s="12">
        <f t="shared" ref="D22:R22" si="4">SUM(D19:D21)</f>
        <v>1</v>
      </c>
      <c r="E22">
        <f t="shared" si="4"/>
        <v>0</v>
      </c>
      <c r="G22" s="12">
        <f t="shared" si="4"/>
        <v>3</v>
      </c>
      <c r="H22" s="12">
        <f t="shared" si="4"/>
        <v>0</v>
      </c>
      <c r="I22" s="12">
        <f t="shared" si="4"/>
        <v>0</v>
      </c>
      <c r="J22">
        <f t="shared" si="4"/>
        <v>0</v>
      </c>
      <c r="K22" s="12">
        <f t="shared" si="4"/>
        <v>0</v>
      </c>
      <c r="L22">
        <f t="shared" si="4"/>
        <v>0</v>
      </c>
      <c r="N22" s="12">
        <f t="shared" si="4"/>
        <v>0</v>
      </c>
      <c r="O22" s="12">
        <f t="shared" si="4"/>
        <v>0</v>
      </c>
      <c r="P22" s="12">
        <f t="shared" si="4"/>
        <v>0</v>
      </c>
      <c r="Q22">
        <f t="shared" si="4"/>
        <v>0</v>
      </c>
      <c r="R22" s="12">
        <f t="shared" si="4"/>
        <v>1</v>
      </c>
      <c r="S22">
        <f t="shared" si="1"/>
        <v>7</v>
      </c>
    </row>
    <row r="23" spans="1:19" x14ac:dyDescent="0.25">
      <c r="S23">
        <f t="shared" si="1"/>
        <v>0</v>
      </c>
    </row>
    <row r="24" spans="1:19" x14ac:dyDescent="0.25">
      <c r="A24" s="16">
        <v>8</v>
      </c>
      <c r="B24" s="17" t="s">
        <v>319</v>
      </c>
      <c r="F24" s="12">
        <v>0</v>
      </c>
      <c r="G24" s="12">
        <v>1</v>
      </c>
      <c r="M24" s="12">
        <v>1</v>
      </c>
      <c r="N24" s="12">
        <v>1</v>
      </c>
      <c r="O24" s="12">
        <v>1</v>
      </c>
      <c r="R24" s="12">
        <v>0</v>
      </c>
      <c r="S24">
        <f t="shared" si="1"/>
        <v>4</v>
      </c>
    </row>
    <row r="25" spans="1:19" x14ac:dyDescent="0.25">
      <c r="A25" s="16">
        <v>9</v>
      </c>
      <c r="B25" s="17" t="s">
        <v>320</v>
      </c>
      <c r="F25" s="12">
        <v>0</v>
      </c>
      <c r="G25" s="12">
        <v>0</v>
      </c>
      <c r="O25" s="12">
        <v>12</v>
      </c>
      <c r="S25">
        <f t="shared" si="1"/>
        <v>12</v>
      </c>
    </row>
    <row r="26" spans="1:19" x14ac:dyDescent="0.25">
      <c r="A26" s="15">
        <v>10</v>
      </c>
      <c r="B26" t="s">
        <v>321</v>
      </c>
      <c r="C26" s="12">
        <v>111</v>
      </c>
      <c r="F26" s="12">
        <v>78</v>
      </c>
      <c r="G26" s="12">
        <v>235</v>
      </c>
      <c r="H26" s="12">
        <v>56</v>
      </c>
      <c r="I26" s="12">
        <v>17</v>
      </c>
      <c r="J26">
        <v>72</v>
      </c>
      <c r="K26" s="12">
        <v>35</v>
      </c>
      <c r="M26" s="12">
        <v>954</v>
      </c>
      <c r="S26">
        <f t="shared" si="1"/>
        <v>1558</v>
      </c>
    </row>
    <row r="27" spans="1:19" x14ac:dyDescent="0.25">
      <c r="A27" s="16">
        <v>11</v>
      </c>
      <c r="B27" s="17" t="s">
        <v>322</v>
      </c>
      <c r="C27" s="12">
        <v>21</v>
      </c>
      <c r="D27" s="12">
        <v>92</v>
      </c>
      <c r="F27" s="12">
        <v>4</v>
      </c>
      <c r="G27" s="12">
        <v>14</v>
      </c>
      <c r="H27" s="12">
        <v>3</v>
      </c>
      <c r="I27" s="12">
        <v>6</v>
      </c>
      <c r="J27">
        <v>15</v>
      </c>
      <c r="K27" s="12">
        <v>9</v>
      </c>
      <c r="O27" s="12">
        <v>60</v>
      </c>
      <c r="Q27">
        <v>12</v>
      </c>
      <c r="S27">
        <f t="shared" si="1"/>
        <v>236</v>
      </c>
    </row>
    <row r="28" spans="1:19" x14ac:dyDescent="0.25">
      <c r="A28" s="16">
        <v>12</v>
      </c>
      <c r="B28" s="17" t="s">
        <v>323</v>
      </c>
      <c r="D28" s="12">
        <v>2</v>
      </c>
      <c r="F28" s="12">
        <v>0</v>
      </c>
      <c r="O28" s="12">
        <v>0</v>
      </c>
      <c r="S28">
        <f t="shared" si="1"/>
        <v>2</v>
      </c>
    </row>
    <row r="29" spans="1:19" ht="30" x14ac:dyDescent="0.25">
      <c r="A29" s="16">
        <v>13</v>
      </c>
      <c r="B29" s="17" t="s">
        <v>324</v>
      </c>
      <c r="C29" s="12">
        <v>0</v>
      </c>
      <c r="D29" s="12">
        <v>0</v>
      </c>
      <c r="F29" s="12">
        <v>0</v>
      </c>
      <c r="G29" s="12">
        <v>4</v>
      </c>
      <c r="H29" s="12">
        <v>0</v>
      </c>
      <c r="I29" s="12">
        <v>7</v>
      </c>
      <c r="K29" s="12">
        <v>15</v>
      </c>
      <c r="S29">
        <f t="shared" si="1"/>
        <v>26</v>
      </c>
    </row>
    <row r="30" spans="1:19" x14ac:dyDescent="0.25">
      <c r="S30">
        <f t="shared" si="1"/>
        <v>0</v>
      </c>
    </row>
    <row r="31" spans="1:19" ht="45" x14ac:dyDescent="0.25">
      <c r="B31" s="11" t="s">
        <v>325</v>
      </c>
      <c r="S31">
        <f t="shared" si="1"/>
        <v>0</v>
      </c>
    </row>
    <row r="32" spans="1:19" x14ac:dyDescent="0.25">
      <c r="A32" s="15">
        <v>1</v>
      </c>
      <c r="B32" s="17" t="s">
        <v>326</v>
      </c>
      <c r="C32" s="12">
        <v>995</v>
      </c>
      <c r="D32" s="12">
        <v>650</v>
      </c>
      <c r="F32" s="12">
        <v>210</v>
      </c>
      <c r="G32" s="12">
        <v>2111</v>
      </c>
      <c r="K32" s="12">
        <v>39</v>
      </c>
      <c r="M32" s="12">
        <v>2</v>
      </c>
      <c r="N32" s="12">
        <v>6</v>
      </c>
      <c r="O32" s="12">
        <v>273</v>
      </c>
      <c r="P32" s="12">
        <v>34</v>
      </c>
      <c r="Q32" s="12">
        <v>16</v>
      </c>
      <c r="R32" s="12">
        <v>120</v>
      </c>
      <c r="S32">
        <f t="shared" si="1"/>
        <v>4456</v>
      </c>
    </row>
    <row r="33" spans="1:19" x14ac:dyDescent="0.25">
      <c r="A33" s="15">
        <v>2</v>
      </c>
      <c r="B33" s="17" t="s">
        <v>327</v>
      </c>
      <c r="C33" s="12">
        <v>118</v>
      </c>
      <c r="G33" s="12">
        <v>348</v>
      </c>
      <c r="I33" s="12">
        <v>14</v>
      </c>
      <c r="K33" s="12">
        <v>25</v>
      </c>
      <c r="N33" s="12">
        <v>765</v>
      </c>
      <c r="O33" s="12">
        <v>25</v>
      </c>
      <c r="P33" s="12">
        <v>12</v>
      </c>
      <c r="R33" s="12">
        <v>0</v>
      </c>
      <c r="S33">
        <f t="shared" si="1"/>
        <v>1307</v>
      </c>
    </row>
    <row r="34" spans="1:19" x14ac:dyDescent="0.25">
      <c r="A34" s="15">
        <v>3</v>
      </c>
      <c r="B34" s="17" t="s">
        <v>328</v>
      </c>
      <c r="C34" s="12">
        <v>2</v>
      </c>
      <c r="F34" s="12">
        <v>63</v>
      </c>
      <c r="G34" s="12">
        <v>9</v>
      </c>
      <c r="I34" s="12">
        <v>3</v>
      </c>
      <c r="P34" s="12">
        <v>1</v>
      </c>
      <c r="S34">
        <f t="shared" si="1"/>
        <v>78</v>
      </c>
    </row>
    <row r="35" spans="1:19" x14ac:dyDescent="0.25">
      <c r="A35" s="16">
        <v>4</v>
      </c>
      <c r="B35" s="17" t="s">
        <v>329</v>
      </c>
      <c r="C35" s="12">
        <v>28</v>
      </c>
      <c r="G35" s="12">
        <v>92</v>
      </c>
      <c r="K35" s="12">
        <v>7</v>
      </c>
      <c r="M35" s="12">
        <v>1</v>
      </c>
      <c r="N35" s="12">
        <v>90</v>
      </c>
      <c r="O35" s="12">
        <v>11</v>
      </c>
      <c r="S35">
        <f t="shared" si="1"/>
        <v>229</v>
      </c>
    </row>
    <row r="36" spans="1:19" x14ac:dyDescent="0.25">
      <c r="A36" s="16">
        <v>5</v>
      </c>
      <c r="B36" s="17" t="s">
        <v>330</v>
      </c>
      <c r="C36" s="12">
        <v>402</v>
      </c>
      <c r="D36" s="12">
        <v>2</v>
      </c>
      <c r="F36" s="12">
        <v>0</v>
      </c>
      <c r="G36" s="12">
        <v>390</v>
      </c>
      <c r="K36" s="12">
        <v>26</v>
      </c>
      <c r="M36" s="12">
        <v>7</v>
      </c>
      <c r="N36" s="12">
        <v>286</v>
      </c>
      <c r="P36" s="12">
        <v>9</v>
      </c>
      <c r="Q36" s="12">
        <v>5</v>
      </c>
      <c r="R36" s="12">
        <v>50</v>
      </c>
      <c r="S36">
        <f t="shared" si="1"/>
        <v>1177</v>
      </c>
    </row>
    <row r="37" spans="1:19" x14ac:dyDescent="0.25">
      <c r="A37" s="15">
        <v>6</v>
      </c>
      <c r="B37" s="17" t="s">
        <v>331</v>
      </c>
      <c r="F37" s="12">
        <v>0</v>
      </c>
      <c r="S37">
        <f t="shared" si="1"/>
        <v>0</v>
      </c>
    </row>
    <row r="38" spans="1:19" x14ac:dyDescent="0.25">
      <c r="S38">
        <f t="shared" si="1"/>
        <v>0</v>
      </c>
    </row>
    <row r="39" spans="1:19" x14ac:dyDescent="0.25">
      <c r="A39" s="15" t="s">
        <v>430</v>
      </c>
      <c r="C39" s="12">
        <f>SUM(C40:C49)</f>
        <v>24</v>
      </c>
      <c r="D39" s="12">
        <f t="shared" ref="D39:E39" si="5">SUM(D40:D49)</f>
        <v>37</v>
      </c>
      <c r="E39">
        <f t="shared" si="5"/>
        <v>0</v>
      </c>
      <c r="F39" s="12">
        <f>SUM(F40:F49)</f>
        <v>30</v>
      </c>
      <c r="G39" s="12">
        <f t="shared" ref="G39:R39" si="6">SUM(G40:G49)</f>
        <v>41</v>
      </c>
      <c r="H39" s="12">
        <f t="shared" si="6"/>
        <v>23</v>
      </c>
      <c r="I39" s="12">
        <f t="shared" si="6"/>
        <v>19</v>
      </c>
      <c r="J39">
        <f t="shared" si="6"/>
        <v>19</v>
      </c>
      <c r="K39" s="12">
        <f t="shared" si="6"/>
        <v>15</v>
      </c>
      <c r="L39">
        <f t="shared" si="6"/>
        <v>0</v>
      </c>
      <c r="M39" s="12">
        <f>M4</f>
        <v>34</v>
      </c>
      <c r="N39" s="12">
        <f t="shared" si="6"/>
        <v>24</v>
      </c>
      <c r="O39" s="12">
        <f t="shared" si="6"/>
        <v>17</v>
      </c>
      <c r="P39" s="12">
        <f t="shared" si="6"/>
        <v>13</v>
      </c>
      <c r="Q39">
        <f t="shared" si="6"/>
        <v>13</v>
      </c>
      <c r="R39" s="12">
        <f t="shared" si="6"/>
        <v>22</v>
      </c>
      <c r="S39">
        <f t="shared" si="1"/>
        <v>331</v>
      </c>
    </row>
    <row r="40" spans="1:19" x14ac:dyDescent="0.25">
      <c r="A40" s="15">
        <v>1</v>
      </c>
      <c r="B40" s="17" t="s">
        <v>332</v>
      </c>
      <c r="C40" s="12">
        <v>13</v>
      </c>
      <c r="D40" s="12">
        <v>13</v>
      </c>
      <c r="F40" s="12">
        <v>13</v>
      </c>
      <c r="G40" s="12">
        <v>14</v>
      </c>
      <c r="H40" s="12">
        <v>9</v>
      </c>
      <c r="I40" s="12">
        <v>13</v>
      </c>
      <c r="J40">
        <v>13</v>
      </c>
      <c r="K40" s="12">
        <v>13</v>
      </c>
      <c r="M40" s="12">
        <v>21</v>
      </c>
      <c r="N40" s="12">
        <v>13</v>
      </c>
      <c r="O40" s="12">
        <v>13</v>
      </c>
      <c r="P40" s="12">
        <v>13</v>
      </c>
      <c r="Q40" s="12">
        <v>13</v>
      </c>
      <c r="R40" s="12">
        <v>13</v>
      </c>
      <c r="S40">
        <f t="shared" si="1"/>
        <v>187</v>
      </c>
    </row>
    <row r="41" spans="1:19" x14ac:dyDescent="0.25">
      <c r="A41" s="15">
        <v>2</v>
      </c>
      <c r="B41" s="17" t="s">
        <v>333</v>
      </c>
      <c r="C41" s="12">
        <v>4</v>
      </c>
      <c r="D41" s="12">
        <v>4</v>
      </c>
      <c r="F41" s="12">
        <v>4</v>
      </c>
      <c r="G41" s="12">
        <v>13</v>
      </c>
      <c r="H41" s="12">
        <v>4</v>
      </c>
      <c r="I41" s="12">
        <v>1</v>
      </c>
      <c r="J41">
        <v>6</v>
      </c>
      <c r="K41" s="12">
        <v>0</v>
      </c>
      <c r="M41" s="12">
        <v>49</v>
      </c>
      <c r="N41" s="12">
        <v>5</v>
      </c>
      <c r="R41" s="12">
        <v>6</v>
      </c>
      <c r="S41">
        <f t="shared" si="1"/>
        <v>96</v>
      </c>
    </row>
    <row r="42" spans="1:19" x14ac:dyDescent="0.25">
      <c r="A42" s="15">
        <v>3</v>
      </c>
      <c r="B42" s="17" t="s">
        <v>334</v>
      </c>
      <c r="C42" s="12">
        <v>2</v>
      </c>
      <c r="D42" s="12">
        <v>4</v>
      </c>
      <c r="F42" s="12">
        <v>0</v>
      </c>
      <c r="H42" s="12">
        <v>2</v>
      </c>
      <c r="I42" s="12">
        <v>0</v>
      </c>
      <c r="M42" s="12">
        <v>2</v>
      </c>
      <c r="S42">
        <f t="shared" si="1"/>
        <v>10</v>
      </c>
    </row>
    <row r="43" spans="1:19" x14ac:dyDescent="0.25">
      <c r="A43" s="15">
        <v>4</v>
      </c>
      <c r="B43" s="17" t="s">
        <v>335</v>
      </c>
      <c r="D43" s="12">
        <v>6</v>
      </c>
      <c r="F43" s="12">
        <v>6</v>
      </c>
      <c r="H43" s="12">
        <v>3</v>
      </c>
      <c r="I43" s="12">
        <v>0</v>
      </c>
      <c r="M43" s="12">
        <v>11</v>
      </c>
      <c r="S43">
        <f t="shared" si="1"/>
        <v>26</v>
      </c>
    </row>
    <row r="44" spans="1:19" x14ac:dyDescent="0.25">
      <c r="A44" s="15">
        <v>5</v>
      </c>
      <c r="B44" s="17" t="s">
        <v>336</v>
      </c>
      <c r="D44" s="12">
        <v>0</v>
      </c>
      <c r="F44" s="12">
        <v>0</v>
      </c>
      <c r="H44" s="12">
        <v>0</v>
      </c>
      <c r="I44" s="12">
        <v>0</v>
      </c>
      <c r="O44" s="12">
        <v>1</v>
      </c>
      <c r="S44">
        <f t="shared" si="1"/>
        <v>1</v>
      </c>
    </row>
    <row r="45" spans="1:19" x14ac:dyDescent="0.25">
      <c r="A45" s="15">
        <v>6</v>
      </c>
      <c r="B45" s="17" t="s">
        <v>337</v>
      </c>
      <c r="D45" s="12">
        <v>0</v>
      </c>
      <c r="F45" s="12">
        <v>0</v>
      </c>
      <c r="G45" s="12">
        <v>1</v>
      </c>
      <c r="H45" s="12">
        <v>0</v>
      </c>
      <c r="I45" s="12">
        <v>0</v>
      </c>
      <c r="K45" s="12">
        <v>0</v>
      </c>
      <c r="M45" s="12">
        <v>3</v>
      </c>
      <c r="N45" s="12">
        <v>1</v>
      </c>
      <c r="O45" s="12">
        <v>1</v>
      </c>
      <c r="R45" s="12">
        <v>0</v>
      </c>
      <c r="S45">
        <f t="shared" si="1"/>
        <v>6</v>
      </c>
    </row>
    <row r="46" spans="1:19" x14ac:dyDescent="0.25">
      <c r="A46" s="15">
        <v>7</v>
      </c>
      <c r="B46" s="17" t="s">
        <v>338</v>
      </c>
      <c r="C46" s="12">
        <v>2</v>
      </c>
      <c r="F46" s="12">
        <v>1</v>
      </c>
      <c r="G46" s="12">
        <v>3</v>
      </c>
      <c r="H46" s="12">
        <v>0</v>
      </c>
      <c r="I46" s="12">
        <v>0</v>
      </c>
      <c r="K46" s="12">
        <v>0</v>
      </c>
      <c r="M46" s="12">
        <v>8</v>
      </c>
      <c r="N46" s="12">
        <v>0</v>
      </c>
      <c r="O46" s="12">
        <v>2</v>
      </c>
      <c r="R46" s="12">
        <v>1</v>
      </c>
      <c r="S46">
        <f t="shared" si="1"/>
        <v>17</v>
      </c>
    </row>
    <row r="47" spans="1:19" x14ac:dyDescent="0.25">
      <c r="A47" s="15">
        <v>8</v>
      </c>
      <c r="B47" s="17" t="s">
        <v>339</v>
      </c>
      <c r="C47" s="12">
        <v>1</v>
      </c>
      <c r="F47" s="12">
        <v>0</v>
      </c>
      <c r="G47" s="12">
        <v>1</v>
      </c>
      <c r="H47" s="12">
        <v>0</v>
      </c>
      <c r="I47" s="12">
        <v>0</v>
      </c>
      <c r="N47" s="12">
        <v>2</v>
      </c>
      <c r="R47" s="12">
        <v>2</v>
      </c>
      <c r="S47">
        <f t="shared" si="1"/>
        <v>6</v>
      </c>
    </row>
    <row r="48" spans="1:19" x14ac:dyDescent="0.25">
      <c r="A48" s="15">
        <v>9</v>
      </c>
      <c r="B48" s="17" t="s">
        <v>340</v>
      </c>
      <c r="D48" s="12">
        <v>3</v>
      </c>
      <c r="F48" s="12">
        <v>5</v>
      </c>
      <c r="G48" s="12">
        <v>8</v>
      </c>
      <c r="H48" s="12">
        <v>5</v>
      </c>
      <c r="I48" s="12">
        <v>5</v>
      </c>
      <c r="K48" s="12">
        <v>0</v>
      </c>
      <c r="N48" s="12">
        <v>0</v>
      </c>
      <c r="S48">
        <f t="shared" si="1"/>
        <v>26</v>
      </c>
    </row>
    <row r="49" spans="1:19" x14ac:dyDescent="0.25">
      <c r="A49" s="15">
        <v>10</v>
      </c>
      <c r="B49" s="17" t="s">
        <v>341</v>
      </c>
      <c r="C49" s="12">
        <v>2</v>
      </c>
      <c r="D49" s="12">
        <v>7</v>
      </c>
      <c r="F49" s="12">
        <v>1</v>
      </c>
      <c r="G49" s="12">
        <v>1</v>
      </c>
      <c r="H49" s="12">
        <v>0</v>
      </c>
      <c r="K49" s="12">
        <v>2</v>
      </c>
      <c r="N49" s="12">
        <v>3</v>
      </c>
      <c r="P49" s="12">
        <v>0</v>
      </c>
      <c r="R49" s="12">
        <v>0</v>
      </c>
      <c r="S49">
        <f t="shared" si="1"/>
        <v>16</v>
      </c>
    </row>
    <row r="50" spans="1:19" x14ac:dyDescent="0.25">
      <c r="S50">
        <f t="shared" si="1"/>
        <v>0</v>
      </c>
    </row>
    <row r="51" spans="1:19" x14ac:dyDescent="0.25">
      <c r="A51" s="15" t="s">
        <v>431</v>
      </c>
      <c r="C51" s="12">
        <f>SUM(C52:C62)</f>
        <v>43</v>
      </c>
      <c r="D51" s="12">
        <f t="shared" ref="D51:R51" si="7">SUM(D52:D62)</f>
        <v>17</v>
      </c>
      <c r="E51">
        <f t="shared" si="7"/>
        <v>0</v>
      </c>
      <c r="F51" s="12">
        <f t="shared" si="7"/>
        <v>10</v>
      </c>
      <c r="G51" s="12">
        <f t="shared" si="7"/>
        <v>132</v>
      </c>
      <c r="H51" s="12">
        <f t="shared" si="7"/>
        <v>63</v>
      </c>
      <c r="I51" s="12">
        <f t="shared" si="7"/>
        <v>3</v>
      </c>
      <c r="J51">
        <f t="shared" si="7"/>
        <v>95</v>
      </c>
      <c r="K51" s="12">
        <f t="shared" si="7"/>
        <v>23</v>
      </c>
      <c r="L51">
        <f t="shared" si="7"/>
        <v>0</v>
      </c>
      <c r="M51" s="12">
        <f>M5</f>
        <v>0</v>
      </c>
      <c r="N51" s="12">
        <f t="shared" si="7"/>
        <v>24</v>
      </c>
      <c r="O51" s="12">
        <f t="shared" si="7"/>
        <v>9</v>
      </c>
      <c r="P51" s="12">
        <f>SUM(P52:P62)</f>
        <v>8</v>
      </c>
      <c r="Q51">
        <f t="shared" si="7"/>
        <v>7</v>
      </c>
      <c r="R51" s="12">
        <f t="shared" si="7"/>
        <v>13</v>
      </c>
      <c r="S51">
        <f t="shared" si="1"/>
        <v>447</v>
      </c>
    </row>
    <row r="52" spans="1:19" x14ac:dyDescent="0.25">
      <c r="A52" s="15">
        <v>1</v>
      </c>
      <c r="B52" s="17" t="s">
        <v>342</v>
      </c>
      <c r="C52" s="12">
        <v>9</v>
      </c>
      <c r="D52" s="12">
        <v>8</v>
      </c>
      <c r="F52" s="12">
        <v>2</v>
      </c>
      <c r="G52" s="12">
        <v>17</v>
      </c>
      <c r="H52" s="12">
        <v>3</v>
      </c>
      <c r="I52" s="12">
        <v>0</v>
      </c>
      <c r="J52">
        <v>7</v>
      </c>
      <c r="K52" s="12">
        <v>12</v>
      </c>
      <c r="M52" s="12">
        <v>6</v>
      </c>
      <c r="N52" s="12">
        <v>8</v>
      </c>
      <c r="O52" s="12">
        <v>6</v>
      </c>
      <c r="P52" s="12">
        <v>3</v>
      </c>
      <c r="Q52" s="12">
        <v>2</v>
      </c>
      <c r="R52" s="12">
        <v>4</v>
      </c>
      <c r="S52">
        <f t="shared" si="1"/>
        <v>87</v>
      </c>
    </row>
    <row r="53" spans="1:19" x14ac:dyDescent="0.25">
      <c r="A53" s="15">
        <v>2</v>
      </c>
      <c r="B53" s="17" t="s">
        <v>343</v>
      </c>
      <c r="C53" s="12">
        <v>0</v>
      </c>
      <c r="D53" s="12">
        <v>0</v>
      </c>
      <c r="F53" s="12">
        <v>0</v>
      </c>
      <c r="G53" s="12">
        <v>7</v>
      </c>
      <c r="H53" s="12">
        <v>2</v>
      </c>
      <c r="I53" s="12">
        <v>0</v>
      </c>
      <c r="J53">
        <v>2</v>
      </c>
      <c r="K53" s="12">
        <v>11</v>
      </c>
      <c r="M53" s="12">
        <v>4</v>
      </c>
      <c r="N53" s="12">
        <v>0</v>
      </c>
      <c r="R53" s="12">
        <v>4</v>
      </c>
      <c r="S53">
        <f t="shared" si="1"/>
        <v>30</v>
      </c>
    </row>
    <row r="54" spans="1:19" x14ac:dyDescent="0.25">
      <c r="A54" s="15">
        <v>3</v>
      </c>
      <c r="B54" s="17" t="s">
        <v>344</v>
      </c>
      <c r="F54" s="12">
        <v>0</v>
      </c>
      <c r="G54" s="12">
        <v>0</v>
      </c>
      <c r="H54" s="12">
        <v>0</v>
      </c>
      <c r="I54" s="12">
        <v>0</v>
      </c>
      <c r="R54" s="12">
        <v>0</v>
      </c>
      <c r="S54">
        <f t="shared" si="1"/>
        <v>0</v>
      </c>
    </row>
    <row r="55" spans="1:19" x14ac:dyDescent="0.25">
      <c r="A55" s="15">
        <v>4</v>
      </c>
      <c r="B55" s="17" t="s">
        <v>345</v>
      </c>
      <c r="F55" s="12">
        <v>0</v>
      </c>
      <c r="G55" s="12">
        <v>1</v>
      </c>
      <c r="H55" s="12">
        <v>1</v>
      </c>
      <c r="I55" s="12">
        <v>0</v>
      </c>
      <c r="N55" s="12">
        <v>0</v>
      </c>
      <c r="R55" s="12">
        <v>0</v>
      </c>
      <c r="S55">
        <f t="shared" si="1"/>
        <v>2</v>
      </c>
    </row>
    <row r="56" spans="1:19" x14ac:dyDescent="0.25">
      <c r="A56" s="15">
        <v>5</v>
      </c>
      <c r="B56" s="17" t="s">
        <v>346</v>
      </c>
      <c r="C56" s="12">
        <v>1</v>
      </c>
      <c r="D56" s="12">
        <v>0</v>
      </c>
      <c r="F56" s="12">
        <v>0</v>
      </c>
      <c r="G56" s="12">
        <v>8</v>
      </c>
      <c r="H56" s="12">
        <v>10</v>
      </c>
      <c r="I56" s="12">
        <v>3</v>
      </c>
      <c r="M56" s="12">
        <v>3</v>
      </c>
      <c r="N56" s="12">
        <v>4</v>
      </c>
      <c r="R56" s="12">
        <v>0</v>
      </c>
      <c r="S56">
        <f t="shared" si="1"/>
        <v>29</v>
      </c>
    </row>
    <row r="57" spans="1:19" x14ac:dyDescent="0.25">
      <c r="A57" s="15">
        <v>6</v>
      </c>
      <c r="B57" s="17" t="s">
        <v>347</v>
      </c>
      <c r="F57" s="12">
        <v>0</v>
      </c>
      <c r="G57" s="12">
        <v>0</v>
      </c>
      <c r="I57" s="12">
        <v>0</v>
      </c>
      <c r="J57">
        <v>7</v>
      </c>
      <c r="K57" s="12">
        <v>0</v>
      </c>
      <c r="R57" s="12">
        <v>0</v>
      </c>
      <c r="S57">
        <f t="shared" si="1"/>
        <v>7</v>
      </c>
    </row>
    <row r="58" spans="1:19" x14ac:dyDescent="0.25">
      <c r="A58" s="15">
        <v>7</v>
      </c>
      <c r="B58" s="17" t="s">
        <v>348</v>
      </c>
      <c r="C58" s="12">
        <v>15</v>
      </c>
      <c r="D58" s="12">
        <v>7</v>
      </c>
      <c r="F58" s="12">
        <v>7</v>
      </c>
      <c r="G58" s="12">
        <v>22</v>
      </c>
      <c r="H58" s="12">
        <v>12</v>
      </c>
      <c r="I58" s="12">
        <v>0</v>
      </c>
      <c r="J58">
        <v>6</v>
      </c>
      <c r="K58" s="12">
        <v>0</v>
      </c>
      <c r="M58" s="12">
        <v>7</v>
      </c>
      <c r="N58" s="12">
        <v>11</v>
      </c>
      <c r="O58" s="12">
        <v>3</v>
      </c>
      <c r="P58" s="12">
        <v>4</v>
      </c>
      <c r="Q58" s="12">
        <v>5</v>
      </c>
      <c r="R58" s="12">
        <v>4</v>
      </c>
      <c r="S58">
        <f t="shared" si="1"/>
        <v>103</v>
      </c>
    </row>
    <row r="59" spans="1:19" x14ac:dyDescent="0.25">
      <c r="B59" s="17" t="s">
        <v>401</v>
      </c>
      <c r="C59" s="12">
        <v>0</v>
      </c>
      <c r="F59" s="12">
        <v>0</v>
      </c>
      <c r="G59" s="12">
        <v>68</v>
      </c>
      <c r="H59" s="12">
        <v>30</v>
      </c>
      <c r="I59" s="12">
        <v>0</v>
      </c>
      <c r="J59">
        <v>71</v>
      </c>
      <c r="K59" s="12">
        <v>0</v>
      </c>
      <c r="R59" s="12">
        <v>0</v>
      </c>
      <c r="S59">
        <f t="shared" si="1"/>
        <v>169</v>
      </c>
    </row>
    <row r="60" spans="1:19" x14ac:dyDescent="0.25">
      <c r="A60" s="15">
        <v>8</v>
      </c>
      <c r="B60" s="17" t="s">
        <v>349</v>
      </c>
      <c r="C60" s="12">
        <v>8</v>
      </c>
      <c r="D60" s="12">
        <v>0</v>
      </c>
      <c r="F60" s="12">
        <v>0</v>
      </c>
      <c r="G60" s="12">
        <v>3</v>
      </c>
      <c r="H60" s="12">
        <v>2</v>
      </c>
      <c r="I60" s="12">
        <v>0</v>
      </c>
      <c r="K60" s="12">
        <v>0</v>
      </c>
      <c r="M60" s="12">
        <v>4</v>
      </c>
      <c r="R60" s="12">
        <v>0</v>
      </c>
      <c r="S60">
        <f t="shared" si="1"/>
        <v>17</v>
      </c>
    </row>
    <row r="61" spans="1:19" x14ac:dyDescent="0.25">
      <c r="A61" s="15">
        <v>9</v>
      </c>
      <c r="B61" s="17" t="s">
        <v>350</v>
      </c>
      <c r="D61" s="12">
        <v>1</v>
      </c>
      <c r="F61" s="12">
        <v>0</v>
      </c>
      <c r="G61" s="12">
        <v>2</v>
      </c>
      <c r="H61" s="12">
        <v>2</v>
      </c>
      <c r="R61" s="12">
        <v>1</v>
      </c>
      <c r="S61">
        <f t="shared" si="1"/>
        <v>6</v>
      </c>
    </row>
    <row r="62" spans="1:19" x14ac:dyDescent="0.25">
      <c r="A62" s="15">
        <v>10</v>
      </c>
      <c r="B62" s="17" t="s">
        <v>351</v>
      </c>
      <c r="C62" s="12">
        <v>10</v>
      </c>
      <c r="D62" s="12">
        <v>1</v>
      </c>
      <c r="F62" s="12">
        <v>1</v>
      </c>
      <c r="G62" s="12">
        <v>4</v>
      </c>
      <c r="H62" s="12">
        <v>1</v>
      </c>
      <c r="J62">
        <v>2</v>
      </c>
      <c r="M62" s="12">
        <v>10</v>
      </c>
      <c r="N62" s="12">
        <v>1</v>
      </c>
      <c r="P62" s="12">
        <v>1</v>
      </c>
      <c r="R62" s="12">
        <v>0</v>
      </c>
      <c r="S62">
        <f t="shared" si="1"/>
        <v>31</v>
      </c>
    </row>
    <row r="63" spans="1:19" x14ac:dyDescent="0.25">
      <c r="A63" s="16"/>
      <c r="B63" s="17"/>
      <c r="S63">
        <f t="shared" si="1"/>
        <v>0</v>
      </c>
    </row>
    <row r="64" spans="1:19" x14ac:dyDescent="0.25">
      <c r="A64" s="10" t="s">
        <v>352</v>
      </c>
      <c r="S64">
        <f t="shared" si="1"/>
        <v>0</v>
      </c>
    </row>
    <row r="65" spans="1:19" x14ac:dyDescent="0.25">
      <c r="A65" s="15">
        <v>1</v>
      </c>
      <c r="B65" s="17" t="s">
        <v>353</v>
      </c>
      <c r="C65" s="12">
        <v>34</v>
      </c>
      <c r="D65" s="12">
        <v>45</v>
      </c>
      <c r="F65" s="12">
        <v>23</v>
      </c>
      <c r="G65" s="12">
        <v>96</v>
      </c>
      <c r="H65" s="12">
        <v>31</v>
      </c>
      <c r="I65" s="12">
        <v>0</v>
      </c>
      <c r="J65">
        <v>33</v>
      </c>
      <c r="K65" s="12">
        <v>21</v>
      </c>
      <c r="M65" s="12">
        <v>1354</v>
      </c>
      <c r="N65" s="12">
        <v>46</v>
      </c>
      <c r="O65" s="12">
        <v>60</v>
      </c>
      <c r="P65" s="12">
        <v>18</v>
      </c>
      <c r="Q65" s="12">
        <v>27</v>
      </c>
      <c r="R65" s="12">
        <v>48</v>
      </c>
      <c r="S65">
        <f t="shared" si="1"/>
        <v>1836</v>
      </c>
    </row>
    <row r="66" spans="1:19" x14ac:dyDescent="0.25">
      <c r="A66" s="15">
        <v>2</v>
      </c>
      <c r="B66" s="17" t="s">
        <v>354</v>
      </c>
      <c r="D66" s="12">
        <v>0</v>
      </c>
      <c r="F66" s="12">
        <v>0</v>
      </c>
      <c r="G66" s="12">
        <v>0</v>
      </c>
      <c r="H66" s="12">
        <v>0</v>
      </c>
      <c r="I66" s="12">
        <v>0</v>
      </c>
      <c r="K66" s="12">
        <v>0</v>
      </c>
      <c r="M66" s="12">
        <v>0</v>
      </c>
      <c r="N66" s="12">
        <v>0</v>
      </c>
      <c r="O66" s="12">
        <v>0</v>
      </c>
      <c r="R66" s="12">
        <v>0</v>
      </c>
      <c r="S66">
        <f t="shared" si="1"/>
        <v>0</v>
      </c>
    </row>
    <row r="67" spans="1:19" x14ac:dyDescent="0.25">
      <c r="A67" s="15">
        <v>3</v>
      </c>
      <c r="B67" s="17" t="s">
        <v>355</v>
      </c>
      <c r="D67" s="12">
        <v>0</v>
      </c>
      <c r="F67" s="12">
        <v>0</v>
      </c>
      <c r="G67" s="12">
        <v>0</v>
      </c>
      <c r="H67" s="12">
        <v>0</v>
      </c>
      <c r="I67" s="12">
        <v>0</v>
      </c>
      <c r="K67" s="12">
        <v>0</v>
      </c>
      <c r="N67" s="12">
        <v>0</v>
      </c>
      <c r="O67" s="12">
        <v>0</v>
      </c>
      <c r="R67" s="12">
        <v>0</v>
      </c>
      <c r="S67">
        <f t="shared" si="1"/>
        <v>0</v>
      </c>
    </row>
    <row r="68" spans="1:19" x14ac:dyDescent="0.25">
      <c r="A68" s="15">
        <v>4</v>
      </c>
      <c r="B68" s="17" t="s">
        <v>356</v>
      </c>
      <c r="C68" s="12">
        <v>27</v>
      </c>
      <c r="D68" s="12">
        <v>75</v>
      </c>
      <c r="G68" s="12">
        <v>89</v>
      </c>
      <c r="H68" s="12">
        <v>0</v>
      </c>
      <c r="I68" s="12">
        <v>19</v>
      </c>
      <c r="J68">
        <v>33</v>
      </c>
      <c r="K68" s="12">
        <v>0</v>
      </c>
      <c r="N68" s="12">
        <v>35</v>
      </c>
      <c r="O68" s="12">
        <v>78</v>
      </c>
      <c r="Q68">
        <v>46</v>
      </c>
      <c r="R68" s="12">
        <v>50</v>
      </c>
      <c r="S68">
        <f t="shared" si="1"/>
        <v>452</v>
      </c>
    </row>
    <row r="69" spans="1:19" x14ac:dyDescent="0.25">
      <c r="A69" s="15">
        <v>5</v>
      </c>
      <c r="B69" s="17" t="s">
        <v>357</v>
      </c>
      <c r="C69" s="12">
        <v>31</v>
      </c>
      <c r="D69" s="12">
        <v>200</v>
      </c>
      <c r="G69" s="12">
        <v>401</v>
      </c>
      <c r="H69" s="12">
        <v>38</v>
      </c>
      <c r="I69" s="12">
        <v>0</v>
      </c>
      <c r="J69">
        <v>17</v>
      </c>
      <c r="K69" s="12">
        <v>20</v>
      </c>
      <c r="M69" s="12">
        <v>865</v>
      </c>
      <c r="N69" s="12">
        <v>150</v>
      </c>
      <c r="O69" s="12">
        <v>30</v>
      </c>
      <c r="Q69" s="12">
        <v>36</v>
      </c>
      <c r="R69" s="12">
        <v>19</v>
      </c>
      <c r="S69">
        <f t="shared" ref="S69:S103" si="8">SUM(C69:R69)</f>
        <v>1807</v>
      </c>
    </row>
    <row r="70" spans="1:19" x14ac:dyDescent="0.25">
      <c r="A70" s="15">
        <v>6</v>
      </c>
      <c r="B70" s="17" t="s">
        <v>358</v>
      </c>
      <c r="C70" s="12">
        <v>30</v>
      </c>
      <c r="D70" s="12">
        <v>37</v>
      </c>
      <c r="F70" s="12">
        <v>18</v>
      </c>
      <c r="G70" s="12">
        <v>88</v>
      </c>
      <c r="I70" s="12">
        <v>0</v>
      </c>
      <c r="J70">
        <v>32</v>
      </c>
      <c r="K70" s="12">
        <v>82</v>
      </c>
      <c r="M70" s="12">
        <v>175</v>
      </c>
      <c r="N70" s="12">
        <v>35</v>
      </c>
      <c r="O70" s="12">
        <v>46</v>
      </c>
      <c r="P70" s="12">
        <v>24</v>
      </c>
      <c r="Q70" s="12">
        <v>22</v>
      </c>
      <c r="R70" s="12">
        <v>121</v>
      </c>
      <c r="S70">
        <f t="shared" si="8"/>
        <v>710</v>
      </c>
    </row>
    <row r="71" spans="1:19" x14ac:dyDescent="0.25">
      <c r="A71" s="15">
        <v>7</v>
      </c>
      <c r="B71" s="17" t="s">
        <v>359</v>
      </c>
      <c r="C71" s="12">
        <v>0</v>
      </c>
      <c r="D71" s="12">
        <v>110</v>
      </c>
      <c r="F71" s="12">
        <v>0</v>
      </c>
      <c r="G71" s="12">
        <v>0</v>
      </c>
      <c r="H71" s="12">
        <v>35</v>
      </c>
      <c r="I71" s="12">
        <v>0</v>
      </c>
      <c r="J71">
        <v>43</v>
      </c>
      <c r="K71" s="12">
        <v>18</v>
      </c>
      <c r="M71" s="12">
        <v>210</v>
      </c>
      <c r="N71" s="12">
        <v>80</v>
      </c>
      <c r="O71" s="12">
        <v>80</v>
      </c>
      <c r="P71" s="12">
        <v>14</v>
      </c>
      <c r="Q71" s="12">
        <v>59</v>
      </c>
      <c r="R71" s="12">
        <v>42</v>
      </c>
      <c r="S71">
        <f t="shared" si="8"/>
        <v>691</v>
      </c>
    </row>
    <row r="72" spans="1:19" x14ac:dyDescent="0.25">
      <c r="A72" s="15">
        <v>8</v>
      </c>
      <c r="B72" s="17" t="s">
        <v>360</v>
      </c>
      <c r="C72" s="12">
        <v>0</v>
      </c>
      <c r="D72" s="12">
        <v>0</v>
      </c>
      <c r="F72" s="12">
        <v>0</v>
      </c>
      <c r="G72" s="12">
        <v>0</v>
      </c>
      <c r="I72" s="12">
        <v>0</v>
      </c>
      <c r="K72" s="12">
        <v>0</v>
      </c>
      <c r="M72" s="12">
        <v>132</v>
      </c>
      <c r="N72" s="12">
        <v>0</v>
      </c>
      <c r="O72" s="12">
        <v>0</v>
      </c>
      <c r="P72" s="12">
        <v>0</v>
      </c>
      <c r="R72" s="12">
        <v>0</v>
      </c>
      <c r="S72">
        <f t="shared" si="8"/>
        <v>132</v>
      </c>
    </row>
    <row r="73" spans="1:19" x14ac:dyDescent="0.25">
      <c r="A73" s="15">
        <v>9</v>
      </c>
      <c r="B73" s="17" t="s">
        <v>361</v>
      </c>
      <c r="C73" s="12">
        <v>0</v>
      </c>
      <c r="D73" s="12">
        <v>0</v>
      </c>
      <c r="F73" s="12">
        <v>0</v>
      </c>
      <c r="G73" s="12">
        <v>0</v>
      </c>
      <c r="I73" s="12">
        <v>0</v>
      </c>
      <c r="K73" s="12">
        <v>0</v>
      </c>
      <c r="M73" s="12">
        <v>187</v>
      </c>
      <c r="N73" s="12">
        <v>0</v>
      </c>
      <c r="O73" s="12">
        <v>0</v>
      </c>
      <c r="R73" s="12">
        <v>0</v>
      </c>
      <c r="S73">
        <f t="shared" si="8"/>
        <v>187</v>
      </c>
    </row>
    <row r="74" spans="1:19" x14ac:dyDescent="0.25">
      <c r="A74" s="15">
        <v>10</v>
      </c>
      <c r="B74" s="17" t="s">
        <v>362</v>
      </c>
      <c r="C74" s="12">
        <v>0</v>
      </c>
      <c r="D74" s="12">
        <v>0</v>
      </c>
      <c r="F74" s="12">
        <v>0</v>
      </c>
      <c r="G74" s="12">
        <v>0</v>
      </c>
      <c r="H74" s="12">
        <v>0</v>
      </c>
      <c r="I74" s="12">
        <v>0</v>
      </c>
      <c r="J74">
        <v>49</v>
      </c>
      <c r="K74" s="12">
        <v>0</v>
      </c>
      <c r="M74" s="12">
        <v>402</v>
      </c>
      <c r="N74" s="12">
        <v>0</v>
      </c>
      <c r="O74" s="12">
        <v>0</v>
      </c>
      <c r="P74" s="12">
        <v>0</v>
      </c>
      <c r="R74" s="12">
        <v>0</v>
      </c>
      <c r="S74">
        <f t="shared" si="8"/>
        <v>451</v>
      </c>
    </row>
    <row r="75" spans="1:19" x14ac:dyDescent="0.25">
      <c r="A75" s="15">
        <v>11</v>
      </c>
      <c r="B75" s="17" t="s">
        <v>363</v>
      </c>
      <c r="F75" s="12">
        <v>0</v>
      </c>
      <c r="G75" s="12">
        <v>0</v>
      </c>
      <c r="I75" s="12">
        <v>0</v>
      </c>
      <c r="K75" s="12">
        <v>0</v>
      </c>
      <c r="O75" s="12">
        <v>0</v>
      </c>
      <c r="R75" s="12">
        <v>0</v>
      </c>
      <c r="S75">
        <f t="shared" si="8"/>
        <v>0</v>
      </c>
    </row>
    <row r="76" spans="1:19" x14ac:dyDescent="0.25">
      <c r="A76" s="15">
        <v>12</v>
      </c>
      <c r="B76" s="17" t="s">
        <v>364</v>
      </c>
      <c r="F76" s="12">
        <v>0</v>
      </c>
      <c r="G76" s="12">
        <v>0</v>
      </c>
      <c r="I76" s="12">
        <v>0</v>
      </c>
      <c r="K76" s="12">
        <v>0</v>
      </c>
      <c r="M76" s="12">
        <v>0</v>
      </c>
      <c r="O76" s="12">
        <v>70</v>
      </c>
      <c r="R76" s="12">
        <v>0</v>
      </c>
      <c r="S76">
        <f t="shared" si="8"/>
        <v>70</v>
      </c>
    </row>
    <row r="77" spans="1:19" x14ac:dyDescent="0.25">
      <c r="S77">
        <f t="shared" si="8"/>
        <v>0</v>
      </c>
    </row>
    <row r="78" spans="1:19" x14ac:dyDescent="0.25">
      <c r="A78" s="10" t="s">
        <v>365</v>
      </c>
      <c r="C78" s="12">
        <f>SUM(C79,C83)</f>
        <v>2</v>
      </c>
      <c r="D78" s="12">
        <f t="shared" ref="D78:Q78" si="9">SUM(D79,D83)</f>
        <v>1</v>
      </c>
      <c r="E78">
        <f t="shared" si="9"/>
        <v>0</v>
      </c>
      <c r="G78" s="12">
        <f t="shared" si="9"/>
        <v>0</v>
      </c>
      <c r="H78" s="12">
        <f t="shared" si="9"/>
        <v>1</v>
      </c>
      <c r="I78" s="12">
        <f t="shared" si="9"/>
        <v>1</v>
      </c>
      <c r="J78">
        <f t="shared" si="9"/>
        <v>1</v>
      </c>
      <c r="K78" s="12">
        <f t="shared" si="9"/>
        <v>1</v>
      </c>
      <c r="L78">
        <f t="shared" si="9"/>
        <v>0</v>
      </c>
      <c r="M78" s="12">
        <f t="shared" si="9"/>
        <v>8</v>
      </c>
      <c r="N78" s="12">
        <f t="shared" si="9"/>
        <v>0</v>
      </c>
      <c r="O78" s="12">
        <v>0</v>
      </c>
      <c r="P78" s="12">
        <f t="shared" si="9"/>
        <v>0</v>
      </c>
      <c r="Q78">
        <f t="shared" si="9"/>
        <v>0</v>
      </c>
      <c r="R78" s="12">
        <v>0</v>
      </c>
      <c r="S78">
        <f t="shared" si="8"/>
        <v>15</v>
      </c>
    </row>
    <row r="79" spans="1:19" x14ac:dyDescent="0.25">
      <c r="A79" s="15">
        <v>1</v>
      </c>
      <c r="B79" s="17" t="s">
        <v>366</v>
      </c>
      <c r="C79" s="12">
        <v>1</v>
      </c>
      <c r="D79" s="12">
        <v>1</v>
      </c>
      <c r="E79">
        <f t="shared" ref="E79:R79" si="10">SUM(E80:E82)</f>
        <v>0</v>
      </c>
      <c r="G79" s="12">
        <v>0</v>
      </c>
      <c r="H79" s="12">
        <v>1</v>
      </c>
      <c r="I79" s="12">
        <f t="shared" si="10"/>
        <v>1</v>
      </c>
      <c r="J79">
        <f t="shared" si="10"/>
        <v>1</v>
      </c>
      <c r="K79" s="12">
        <v>1</v>
      </c>
      <c r="L79">
        <f t="shared" si="10"/>
        <v>0</v>
      </c>
      <c r="M79" s="12">
        <v>8</v>
      </c>
      <c r="N79" s="12">
        <f t="shared" si="10"/>
        <v>0</v>
      </c>
      <c r="O79" s="12">
        <v>0</v>
      </c>
      <c r="Q79">
        <f t="shared" si="10"/>
        <v>0</v>
      </c>
      <c r="R79" s="12">
        <f t="shared" si="10"/>
        <v>0</v>
      </c>
      <c r="S79">
        <f t="shared" si="8"/>
        <v>14</v>
      </c>
    </row>
    <row r="80" spans="1:19" x14ac:dyDescent="0.25">
      <c r="A80" s="15">
        <v>1.1000000000000001</v>
      </c>
      <c r="B80" s="17" t="s">
        <v>367</v>
      </c>
      <c r="C80" s="12">
        <v>1</v>
      </c>
      <c r="G80" s="12">
        <v>0</v>
      </c>
      <c r="H80" s="12">
        <v>1</v>
      </c>
      <c r="J80">
        <v>1</v>
      </c>
      <c r="M80" s="12">
        <v>1</v>
      </c>
      <c r="O80" s="12">
        <v>0</v>
      </c>
      <c r="S80">
        <f t="shared" si="8"/>
        <v>4</v>
      </c>
    </row>
    <row r="81" spans="1:19" x14ac:dyDescent="0.25">
      <c r="A81" s="15">
        <v>1.2</v>
      </c>
      <c r="B81" s="17" t="s">
        <v>368</v>
      </c>
      <c r="G81" s="12">
        <v>0</v>
      </c>
      <c r="I81" s="12">
        <v>1</v>
      </c>
      <c r="M81" s="12">
        <v>1</v>
      </c>
      <c r="O81" s="12">
        <v>0</v>
      </c>
      <c r="S81">
        <f t="shared" si="8"/>
        <v>2</v>
      </c>
    </row>
    <row r="82" spans="1:19" x14ac:dyDescent="0.25">
      <c r="A82" s="15">
        <v>1.3</v>
      </c>
      <c r="B82" s="17" t="s">
        <v>369</v>
      </c>
      <c r="G82" s="12">
        <v>0</v>
      </c>
      <c r="M82" s="12">
        <v>2</v>
      </c>
      <c r="S82">
        <f t="shared" si="8"/>
        <v>2</v>
      </c>
    </row>
    <row r="83" spans="1:19" x14ac:dyDescent="0.25">
      <c r="A83" s="15">
        <v>2</v>
      </c>
      <c r="B83" s="17" t="s">
        <v>370</v>
      </c>
      <c r="C83" s="12">
        <v>1</v>
      </c>
      <c r="G83" s="12">
        <v>0</v>
      </c>
      <c r="M83" s="12">
        <v>0</v>
      </c>
      <c r="S83">
        <f t="shared" si="8"/>
        <v>1</v>
      </c>
    </row>
    <row r="84" spans="1:19" x14ac:dyDescent="0.25">
      <c r="A84" s="15">
        <v>3</v>
      </c>
      <c r="B84" s="17" t="s">
        <v>371</v>
      </c>
      <c r="C84" s="12">
        <v>0</v>
      </c>
      <c r="D84" s="12">
        <v>1</v>
      </c>
      <c r="I84" s="12">
        <v>0</v>
      </c>
      <c r="K84" s="12">
        <v>0</v>
      </c>
      <c r="M84" s="12">
        <v>1</v>
      </c>
      <c r="N84" s="12">
        <v>1</v>
      </c>
      <c r="S84">
        <f t="shared" si="8"/>
        <v>3</v>
      </c>
    </row>
    <row r="85" spans="1:19" ht="30" x14ac:dyDescent="0.25">
      <c r="A85" s="15">
        <v>4</v>
      </c>
      <c r="B85" s="17" t="s">
        <v>372</v>
      </c>
      <c r="G85" s="12">
        <v>0</v>
      </c>
      <c r="Q85">
        <v>1</v>
      </c>
      <c r="S85">
        <f t="shared" si="8"/>
        <v>1</v>
      </c>
    </row>
    <row r="86" spans="1:19" x14ac:dyDescent="0.25">
      <c r="S86">
        <f t="shared" si="8"/>
        <v>0</v>
      </c>
    </row>
    <row r="87" spans="1:19" x14ac:dyDescent="0.25">
      <c r="A87" s="10" t="s">
        <v>373</v>
      </c>
      <c r="S87">
        <f t="shared" si="8"/>
        <v>0</v>
      </c>
    </row>
    <row r="88" spans="1:19" x14ac:dyDescent="0.25">
      <c r="A88" s="15">
        <v>1</v>
      </c>
      <c r="B88" s="17" t="s">
        <v>374</v>
      </c>
      <c r="F88" s="12">
        <v>0</v>
      </c>
      <c r="G88" s="12">
        <v>2</v>
      </c>
      <c r="H88" s="12">
        <v>7</v>
      </c>
      <c r="I88" s="12">
        <v>0</v>
      </c>
      <c r="K88" s="12">
        <v>0</v>
      </c>
      <c r="N88" s="12">
        <v>2</v>
      </c>
      <c r="P88" s="12">
        <v>2</v>
      </c>
      <c r="Q88">
        <v>2</v>
      </c>
      <c r="R88" s="12">
        <v>2</v>
      </c>
      <c r="S88">
        <f t="shared" si="8"/>
        <v>17</v>
      </c>
    </row>
    <row r="89" spans="1:19" x14ac:dyDescent="0.25">
      <c r="A89" s="16">
        <v>2</v>
      </c>
      <c r="B89" s="17" t="s">
        <v>403</v>
      </c>
      <c r="C89" s="12">
        <v>6</v>
      </c>
      <c r="D89" s="12">
        <v>0</v>
      </c>
      <c r="G89" s="12">
        <v>4</v>
      </c>
      <c r="H89" s="12">
        <v>6</v>
      </c>
      <c r="I89" s="12">
        <v>4</v>
      </c>
      <c r="J89">
        <v>4</v>
      </c>
      <c r="K89" s="12">
        <v>7</v>
      </c>
      <c r="Q89">
        <v>2</v>
      </c>
      <c r="R89" s="12">
        <v>0</v>
      </c>
      <c r="S89">
        <f t="shared" si="8"/>
        <v>33</v>
      </c>
    </row>
    <row r="90" spans="1:19" x14ac:dyDescent="0.25">
      <c r="A90" s="15">
        <v>3</v>
      </c>
      <c r="B90" s="17" t="s">
        <v>376</v>
      </c>
      <c r="C90" s="12">
        <v>0</v>
      </c>
      <c r="D90" s="12">
        <v>0</v>
      </c>
      <c r="H90" s="12">
        <v>7</v>
      </c>
      <c r="I90" s="12">
        <v>13</v>
      </c>
      <c r="K90" s="12">
        <v>13</v>
      </c>
      <c r="M90" s="12">
        <v>15</v>
      </c>
      <c r="Q90">
        <v>54</v>
      </c>
      <c r="S90">
        <f t="shared" si="8"/>
        <v>102</v>
      </c>
    </row>
    <row r="91" spans="1:19" x14ac:dyDescent="0.25">
      <c r="A91" s="15">
        <v>4</v>
      </c>
      <c r="B91" s="17" t="s">
        <v>377</v>
      </c>
      <c r="C91" s="12">
        <v>0</v>
      </c>
      <c r="D91" s="12">
        <v>11</v>
      </c>
      <c r="F91" s="12">
        <v>12</v>
      </c>
      <c r="G91" s="12">
        <v>11</v>
      </c>
      <c r="I91" s="12">
        <v>0</v>
      </c>
      <c r="K91" s="12">
        <v>0</v>
      </c>
      <c r="M91" s="12">
        <v>12</v>
      </c>
      <c r="N91" s="12">
        <v>13</v>
      </c>
      <c r="P91" s="12">
        <v>13</v>
      </c>
      <c r="Q91" s="12">
        <v>5</v>
      </c>
      <c r="R91" s="12">
        <v>13</v>
      </c>
      <c r="S91">
        <f t="shared" si="8"/>
        <v>90</v>
      </c>
    </row>
    <row r="92" spans="1:19" x14ac:dyDescent="0.25">
      <c r="A92" s="15">
        <v>5</v>
      </c>
      <c r="B92" s="17" t="s">
        <v>378</v>
      </c>
      <c r="C92" s="12">
        <v>0</v>
      </c>
      <c r="F92" s="12">
        <v>1</v>
      </c>
      <c r="G92" s="12">
        <v>0</v>
      </c>
      <c r="H92" s="12">
        <v>4</v>
      </c>
      <c r="I92" s="12">
        <v>0</v>
      </c>
      <c r="J92">
        <v>1</v>
      </c>
      <c r="K92" s="12">
        <v>0</v>
      </c>
      <c r="M92" s="12">
        <v>2</v>
      </c>
      <c r="N92" s="12">
        <v>3</v>
      </c>
      <c r="R92" s="12">
        <v>1</v>
      </c>
      <c r="S92">
        <f t="shared" si="8"/>
        <v>12</v>
      </c>
    </row>
    <row r="93" spans="1:19" ht="30" x14ac:dyDescent="0.25">
      <c r="A93" s="15">
        <v>6</v>
      </c>
      <c r="B93" s="17" t="s">
        <v>379</v>
      </c>
      <c r="G93" s="12">
        <v>3</v>
      </c>
      <c r="H93" s="12">
        <v>0</v>
      </c>
      <c r="I93" s="12">
        <v>0</v>
      </c>
      <c r="K93" s="12">
        <v>0</v>
      </c>
      <c r="N93" s="12">
        <v>2</v>
      </c>
      <c r="R93" s="12">
        <v>0</v>
      </c>
      <c r="S93">
        <f t="shared" si="8"/>
        <v>5</v>
      </c>
    </row>
    <row r="94" spans="1:19" x14ac:dyDescent="0.25">
      <c r="A94" s="15">
        <v>7</v>
      </c>
      <c r="B94" s="17" t="s">
        <v>380</v>
      </c>
      <c r="D94" s="12">
        <v>2</v>
      </c>
      <c r="G94" s="12">
        <v>3</v>
      </c>
      <c r="H94" s="12">
        <v>3</v>
      </c>
      <c r="I94" s="12">
        <v>0</v>
      </c>
      <c r="M94" s="12">
        <v>0</v>
      </c>
      <c r="N94" s="12">
        <v>0</v>
      </c>
      <c r="R94" s="12">
        <v>0</v>
      </c>
      <c r="S94">
        <f t="shared" si="8"/>
        <v>8</v>
      </c>
    </row>
    <row r="95" spans="1:19" x14ac:dyDescent="0.25">
      <c r="A95" s="16">
        <v>8</v>
      </c>
      <c r="B95" s="17" t="s">
        <v>381</v>
      </c>
      <c r="D95" s="12">
        <v>0</v>
      </c>
      <c r="G95" s="12">
        <v>2</v>
      </c>
      <c r="H95" s="12">
        <v>0</v>
      </c>
      <c r="I95" s="12">
        <v>0</v>
      </c>
      <c r="K95" s="12">
        <v>0</v>
      </c>
      <c r="M95" s="12">
        <v>50</v>
      </c>
      <c r="N95" s="12">
        <v>13</v>
      </c>
      <c r="P95" s="12">
        <v>6</v>
      </c>
      <c r="R95" s="12">
        <v>6</v>
      </c>
      <c r="S95">
        <f t="shared" si="8"/>
        <v>77</v>
      </c>
    </row>
    <row r="96" spans="1:19" x14ac:dyDescent="0.25">
      <c r="A96" s="15">
        <v>9</v>
      </c>
      <c r="B96" s="17" t="s">
        <v>382</v>
      </c>
      <c r="G96" s="12">
        <v>1</v>
      </c>
      <c r="H96" s="12">
        <v>2</v>
      </c>
      <c r="I96" s="12">
        <v>1</v>
      </c>
      <c r="J96">
        <v>1</v>
      </c>
      <c r="K96" s="12">
        <v>0</v>
      </c>
      <c r="R96" s="12">
        <v>0</v>
      </c>
      <c r="S96">
        <f t="shared" si="8"/>
        <v>5</v>
      </c>
    </row>
    <row r="97" spans="1:19" x14ac:dyDescent="0.25">
      <c r="A97" s="15">
        <v>10</v>
      </c>
      <c r="B97" s="17" t="s">
        <v>383</v>
      </c>
      <c r="G97" s="12">
        <v>0</v>
      </c>
      <c r="I97" s="12">
        <v>0</v>
      </c>
      <c r="K97" s="12">
        <v>0</v>
      </c>
      <c r="M97" s="12">
        <v>0</v>
      </c>
      <c r="R97" s="12">
        <v>0</v>
      </c>
      <c r="S97">
        <f t="shared" si="8"/>
        <v>0</v>
      </c>
    </row>
    <row r="98" spans="1:19" x14ac:dyDescent="0.25">
      <c r="A98" s="15">
        <v>11</v>
      </c>
      <c r="B98" s="17" t="s">
        <v>384</v>
      </c>
      <c r="D98" s="12">
        <v>2</v>
      </c>
      <c r="K98" s="12">
        <v>0</v>
      </c>
      <c r="R98" s="12">
        <v>0</v>
      </c>
      <c r="S98">
        <f t="shared" si="8"/>
        <v>2</v>
      </c>
    </row>
    <row r="99" spans="1:19" x14ac:dyDescent="0.25">
      <c r="A99" s="15">
        <v>12</v>
      </c>
      <c r="B99" s="17" t="s">
        <v>385</v>
      </c>
      <c r="K99" s="12">
        <v>0</v>
      </c>
      <c r="M99" s="12">
        <v>475</v>
      </c>
      <c r="R99" s="12">
        <v>0</v>
      </c>
      <c r="S99">
        <f t="shared" si="8"/>
        <v>475</v>
      </c>
    </row>
    <row r="100" spans="1:19" x14ac:dyDescent="0.25">
      <c r="A100" s="15">
        <v>13</v>
      </c>
      <c r="B100" s="17" t="s">
        <v>386</v>
      </c>
      <c r="I100" s="12">
        <v>0</v>
      </c>
      <c r="K100" s="12">
        <v>0</v>
      </c>
      <c r="R100" s="12">
        <v>0</v>
      </c>
      <c r="S100">
        <f t="shared" si="8"/>
        <v>0</v>
      </c>
    </row>
    <row r="101" spans="1:19" x14ac:dyDescent="0.25">
      <c r="A101" s="16">
        <v>14</v>
      </c>
      <c r="B101" s="17" t="s">
        <v>387</v>
      </c>
      <c r="C101" s="12">
        <v>0</v>
      </c>
      <c r="D101" s="12">
        <v>1</v>
      </c>
      <c r="G101" s="12">
        <v>1</v>
      </c>
      <c r="H101" s="12">
        <v>3</v>
      </c>
      <c r="M101" s="12">
        <v>3</v>
      </c>
      <c r="R101" s="12">
        <v>0</v>
      </c>
      <c r="S101">
        <f t="shared" si="8"/>
        <v>8</v>
      </c>
    </row>
    <row r="102" spans="1:19" x14ac:dyDescent="0.25">
      <c r="A102" s="15">
        <v>15</v>
      </c>
      <c r="B102" s="17" t="s">
        <v>388</v>
      </c>
      <c r="C102" s="12">
        <v>0</v>
      </c>
      <c r="F102" s="12">
        <v>1</v>
      </c>
      <c r="G102" s="12">
        <v>2</v>
      </c>
      <c r="J102">
        <v>1</v>
      </c>
      <c r="N102" s="12">
        <v>0</v>
      </c>
      <c r="R102" s="12">
        <v>0</v>
      </c>
      <c r="S102">
        <f t="shared" si="8"/>
        <v>4</v>
      </c>
    </row>
    <row r="103" spans="1:19" x14ac:dyDescent="0.25">
      <c r="S103">
        <f t="shared" si="8"/>
        <v>0</v>
      </c>
    </row>
    <row r="113" spans="1:2" x14ac:dyDescent="0.25">
      <c r="A113" s="16"/>
      <c r="B113" s="17"/>
    </row>
    <row r="122" spans="1:2" x14ac:dyDescent="0.25">
      <c r="A122" s="16"/>
      <c r="B122" s="17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1"/>
  <sheetViews>
    <sheetView tabSelected="1" topLeftCell="A2" zoomScale="102" zoomScaleNormal="80" workbookViewId="0">
      <pane xSplit="2" ySplit="2" topLeftCell="C5" activePane="bottomRight" state="frozen"/>
      <selection activeCell="A2" sqref="A2"/>
      <selection pane="topRight" activeCell="B2" sqref="B2"/>
      <selection pane="bottomLeft" activeCell="A4" sqref="A4"/>
      <selection pane="bottomRight" activeCell="M11" sqref="M11"/>
    </sheetView>
  </sheetViews>
  <sheetFormatPr defaultRowHeight="15" x14ac:dyDescent="0.25"/>
  <cols>
    <col min="1" max="1" width="6.42578125" style="15" customWidth="1"/>
    <col min="2" max="2" width="46.28515625" customWidth="1"/>
    <col min="3" max="3" width="9.85546875" style="12" bestFit="1" customWidth="1"/>
    <col min="4" max="4" width="11.85546875" style="12" bestFit="1" customWidth="1"/>
    <col min="5" max="5" width="10.140625" style="12" bestFit="1" customWidth="1"/>
    <col min="6" max="6" width="10" style="12" bestFit="1" customWidth="1"/>
    <col min="7" max="7" width="9.28515625" style="12" bestFit="1" customWidth="1"/>
    <col min="8" max="8" width="9.5703125" style="12" bestFit="1" customWidth="1"/>
    <col min="9" max="9" width="17.42578125" style="12" bestFit="1" customWidth="1"/>
    <col min="10" max="10" width="7.28515625" bestFit="1" customWidth="1"/>
    <col min="11" max="11" width="8.28515625" style="12" bestFit="1" customWidth="1"/>
    <col min="12" max="12" width="20" style="12" bestFit="1" customWidth="1"/>
    <col min="13" max="13" width="8" style="12" bestFit="1" customWidth="1"/>
    <col min="14" max="14" width="10.140625" style="12" bestFit="1" customWidth="1"/>
    <col min="15" max="15" width="10" bestFit="1" customWidth="1"/>
    <col min="16" max="16" width="11.42578125" style="12" bestFit="1" customWidth="1"/>
    <col min="17" max="17" width="7.7109375" style="12" bestFit="1" customWidth="1"/>
    <col min="18" max="18" width="10.28515625" style="12" bestFit="1" customWidth="1"/>
  </cols>
  <sheetData>
    <row r="1" spans="1:20" hidden="1" x14ac:dyDescent="0.25">
      <c r="A1" s="15" t="s">
        <v>41</v>
      </c>
    </row>
    <row r="2" spans="1:20" x14ac:dyDescent="0.25">
      <c r="C2" s="34" t="s">
        <v>144</v>
      </c>
      <c r="D2" s="34" t="s">
        <v>145</v>
      </c>
      <c r="E2" s="34" t="s">
        <v>146</v>
      </c>
      <c r="F2" s="34" t="s">
        <v>406</v>
      </c>
      <c r="G2" s="34" t="s">
        <v>147</v>
      </c>
      <c r="H2" s="34" t="s">
        <v>148</v>
      </c>
      <c r="I2" s="34" t="s">
        <v>404</v>
      </c>
      <c r="J2" s="1" t="s">
        <v>149</v>
      </c>
      <c r="K2" s="34" t="s">
        <v>150</v>
      </c>
      <c r="L2" s="34" t="s">
        <v>151</v>
      </c>
      <c r="M2" s="34" t="s">
        <v>152</v>
      </c>
      <c r="N2" s="34" t="s">
        <v>153</v>
      </c>
      <c r="O2" s="1" t="s">
        <v>154</v>
      </c>
      <c r="P2" s="34" t="s">
        <v>155</v>
      </c>
      <c r="Q2" s="34" t="s">
        <v>425</v>
      </c>
      <c r="R2" s="34" t="s">
        <v>156</v>
      </c>
      <c r="S2" s="34" t="s">
        <v>172</v>
      </c>
      <c r="T2" s="2"/>
    </row>
    <row r="3" spans="1:20" x14ac:dyDescent="0.25">
      <c r="C3" s="34" t="s">
        <v>27</v>
      </c>
      <c r="D3" s="34" t="s">
        <v>133</v>
      </c>
      <c r="E3" s="34" t="s">
        <v>436</v>
      </c>
      <c r="F3" s="34" t="s">
        <v>139</v>
      </c>
      <c r="G3" s="34" t="s">
        <v>134</v>
      </c>
      <c r="H3" s="34" t="s">
        <v>157</v>
      </c>
      <c r="I3" s="34" t="s">
        <v>405</v>
      </c>
      <c r="J3" s="1" t="s">
        <v>39</v>
      </c>
      <c r="K3" s="34" t="s">
        <v>158</v>
      </c>
      <c r="L3" s="34" t="s">
        <v>159</v>
      </c>
      <c r="M3" s="34" t="s">
        <v>61</v>
      </c>
      <c r="N3" s="34" t="s">
        <v>24</v>
      </c>
      <c r="O3" s="1" t="s">
        <v>160</v>
      </c>
      <c r="P3" s="34" t="s">
        <v>161</v>
      </c>
      <c r="Q3" s="34" t="s">
        <v>102</v>
      </c>
      <c r="R3" s="34" t="s">
        <v>107</v>
      </c>
      <c r="S3" s="34" t="s">
        <v>182</v>
      </c>
      <c r="T3" s="2" t="s">
        <v>162</v>
      </c>
    </row>
    <row r="4" spans="1:20" x14ac:dyDescent="0.25">
      <c r="A4" s="10" t="s">
        <v>0</v>
      </c>
      <c r="C4" s="12">
        <f>SUM(C5:C9)</f>
        <v>0</v>
      </c>
      <c r="D4" s="12">
        <f t="shared" ref="D4:O4" si="0">SUM(D5:D9)</f>
        <v>0</v>
      </c>
      <c r="E4" s="12">
        <f t="shared" si="0"/>
        <v>0</v>
      </c>
      <c r="F4" s="12">
        <v>0</v>
      </c>
      <c r="G4" s="12">
        <v>8</v>
      </c>
      <c r="H4" s="12">
        <v>14</v>
      </c>
      <c r="K4" s="12">
        <v>2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>
        <f t="shared" si="0"/>
        <v>0</v>
      </c>
      <c r="P4" s="12">
        <v>0</v>
      </c>
      <c r="Q4" s="12">
        <v>1</v>
      </c>
      <c r="R4" s="12">
        <v>2</v>
      </c>
      <c r="T4">
        <f>SUM(E4:S4)</f>
        <v>27</v>
      </c>
    </row>
    <row r="5" spans="1:20" x14ac:dyDescent="0.25">
      <c r="A5" s="15" t="s">
        <v>1</v>
      </c>
      <c r="T5">
        <f t="shared" ref="T5:T68" si="1">SUM(E5:S5)</f>
        <v>0</v>
      </c>
    </row>
    <row r="6" spans="1:20" x14ac:dyDescent="0.25">
      <c r="A6" s="15" t="s">
        <v>2</v>
      </c>
      <c r="T6">
        <f t="shared" si="1"/>
        <v>0</v>
      </c>
    </row>
    <row r="7" spans="1:20" x14ac:dyDescent="0.25">
      <c r="A7" s="15" t="s">
        <v>3</v>
      </c>
      <c r="T7">
        <f t="shared" si="1"/>
        <v>0</v>
      </c>
    </row>
    <row r="8" spans="1:20" x14ac:dyDescent="0.25">
      <c r="A8" s="15" t="s">
        <v>4</v>
      </c>
      <c r="T8">
        <f t="shared" si="1"/>
        <v>0</v>
      </c>
    </row>
    <row r="9" spans="1:20" x14ac:dyDescent="0.25">
      <c r="A9" s="15" t="s">
        <v>5</v>
      </c>
      <c r="T9">
        <f t="shared" si="1"/>
        <v>0</v>
      </c>
    </row>
    <row r="10" spans="1:20" x14ac:dyDescent="0.25">
      <c r="A10" s="10" t="s">
        <v>309</v>
      </c>
      <c r="B10" s="2"/>
      <c r="C10" s="12">
        <f>C17-C22</f>
        <v>292</v>
      </c>
      <c r="D10" s="12">
        <f t="shared" ref="D10:R10" si="2">D17-D22</f>
        <v>489</v>
      </c>
      <c r="E10" s="12">
        <f t="shared" si="2"/>
        <v>87</v>
      </c>
      <c r="F10" s="12">
        <f t="shared" si="2"/>
        <v>984</v>
      </c>
      <c r="G10" s="12">
        <f t="shared" si="2"/>
        <v>839</v>
      </c>
      <c r="H10" s="12">
        <f>H17-H22</f>
        <v>2615</v>
      </c>
      <c r="I10" s="12">
        <f t="shared" si="2"/>
        <v>36</v>
      </c>
      <c r="J10">
        <f t="shared" si="2"/>
        <v>254</v>
      </c>
      <c r="K10" s="12">
        <f t="shared" si="2"/>
        <v>274</v>
      </c>
      <c r="L10" s="12">
        <f t="shared" si="2"/>
        <v>-8</v>
      </c>
      <c r="M10" s="12">
        <f t="shared" si="2"/>
        <v>234</v>
      </c>
      <c r="N10" s="12">
        <f t="shared" si="2"/>
        <v>154</v>
      </c>
      <c r="O10">
        <f t="shared" si="2"/>
        <v>0</v>
      </c>
      <c r="P10" s="12">
        <f t="shared" si="2"/>
        <v>212</v>
      </c>
      <c r="Q10" s="12">
        <f t="shared" si="2"/>
        <v>90</v>
      </c>
      <c r="R10" s="12">
        <f t="shared" si="2"/>
        <v>159</v>
      </c>
      <c r="T10">
        <f t="shared" si="1"/>
        <v>5930</v>
      </c>
    </row>
    <row r="11" spans="1:20" x14ac:dyDescent="0.25">
      <c r="A11" s="15" t="s">
        <v>310</v>
      </c>
      <c r="C11" s="12">
        <v>108</v>
      </c>
      <c r="D11" s="12">
        <v>146</v>
      </c>
      <c r="E11" s="12">
        <v>71</v>
      </c>
      <c r="F11" s="12">
        <v>200</v>
      </c>
      <c r="G11" s="12">
        <v>185</v>
      </c>
      <c r="H11" s="12">
        <v>474</v>
      </c>
      <c r="I11" s="12">
        <v>36</v>
      </c>
      <c r="J11" s="12">
        <v>63</v>
      </c>
      <c r="K11" s="12">
        <v>116</v>
      </c>
      <c r="M11" s="12">
        <v>93</v>
      </c>
      <c r="N11" s="12">
        <v>31</v>
      </c>
      <c r="P11" s="12">
        <v>84</v>
      </c>
      <c r="Q11" s="12">
        <v>40</v>
      </c>
      <c r="R11" s="12">
        <v>31</v>
      </c>
      <c r="S11" s="12">
        <v>161</v>
      </c>
      <c r="T11">
        <f t="shared" si="1"/>
        <v>1585</v>
      </c>
    </row>
    <row r="12" spans="1:20" x14ac:dyDescent="0.25">
      <c r="A12" s="15" t="s">
        <v>311</v>
      </c>
      <c r="C12" s="12">
        <v>102</v>
      </c>
      <c r="D12" s="12">
        <v>240</v>
      </c>
      <c r="E12" s="12">
        <v>16</v>
      </c>
      <c r="F12" s="12">
        <v>295</v>
      </c>
      <c r="G12" s="12">
        <v>235</v>
      </c>
      <c r="H12" s="12">
        <v>835</v>
      </c>
      <c r="J12" s="12">
        <v>64</v>
      </c>
      <c r="K12" s="12">
        <v>21</v>
      </c>
      <c r="M12" s="12">
        <v>24</v>
      </c>
      <c r="N12" s="12">
        <v>45</v>
      </c>
      <c r="P12" s="12">
        <v>25</v>
      </c>
      <c r="Q12" s="12">
        <v>50</v>
      </c>
      <c r="R12" s="12">
        <v>48</v>
      </c>
      <c r="S12" s="12">
        <v>54</v>
      </c>
      <c r="T12">
        <f t="shared" si="1"/>
        <v>1712</v>
      </c>
    </row>
    <row r="13" spans="1:20" x14ac:dyDescent="0.25">
      <c r="A13" s="15">
        <v>1</v>
      </c>
      <c r="B13" t="s">
        <v>312</v>
      </c>
      <c r="C13" s="12">
        <v>80</v>
      </c>
      <c r="D13" s="12">
        <v>103</v>
      </c>
      <c r="F13" s="12">
        <v>490</v>
      </c>
      <c r="G13" s="12">
        <v>420</v>
      </c>
      <c r="H13" s="12">
        <v>1309</v>
      </c>
      <c r="J13" s="12">
        <v>127</v>
      </c>
      <c r="K13" s="12">
        <v>137</v>
      </c>
      <c r="M13" s="12">
        <v>117</v>
      </c>
      <c r="N13" s="12">
        <v>77</v>
      </c>
      <c r="P13" s="12">
        <v>103</v>
      </c>
      <c r="Q13" s="12">
        <v>0</v>
      </c>
      <c r="R13" s="12">
        <v>79</v>
      </c>
      <c r="T13">
        <f t="shared" si="1"/>
        <v>2859</v>
      </c>
    </row>
    <row r="14" spans="1:20" x14ac:dyDescent="0.25">
      <c r="A14" s="15">
        <v>2</v>
      </c>
      <c r="B14" t="s">
        <v>313</v>
      </c>
      <c r="C14" s="12">
        <v>2</v>
      </c>
      <c r="D14" s="12">
        <v>0</v>
      </c>
      <c r="G14" s="12">
        <v>0</v>
      </c>
      <c r="K14" s="12">
        <v>2</v>
      </c>
      <c r="N14" s="12">
        <v>1</v>
      </c>
      <c r="P14" s="12">
        <v>0</v>
      </c>
      <c r="R14" s="12">
        <v>1</v>
      </c>
      <c r="T14">
        <f t="shared" si="1"/>
        <v>4</v>
      </c>
    </row>
    <row r="15" spans="1:20" x14ac:dyDescent="0.25">
      <c r="A15" s="15">
        <v>3</v>
      </c>
      <c r="B15" t="s">
        <v>314</v>
      </c>
      <c r="T15">
        <f t="shared" si="1"/>
        <v>0</v>
      </c>
    </row>
    <row r="16" spans="1:20" x14ac:dyDescent="0.25">
      <c r="A16" s="15">
        <v>4</v>
      </c>
      <c r="B16" t="s">
        <v>315</v>
      </c>
      <c r="P16" s="12">
        <v>0</v>
      </c>
      <c r="T16">
        <f t="shared" si="1"/>
        <v>0</v>
      </c>
    </row>
    <row r="17" spans="1:20" x14ac:dyDescent="0.25">
      <c r="A17" s="10" t="s">
        <v>428</v>
      </c>
      <c r="C17" s="12">
        <f>SUM(C11:C16)</f>
        <v>292</v>
      </c>
      <c r="D17" s="12">
        <f t="shared" ref="D17:R17" si="3">SUM(D11:D16)</f>
        <v>489</v>
      </c>
      <c r="E17" s="12">
        <f t="shared" si="3"/>
        <v>87</v>
      </c>
      <c r="F17" s="12">
        <f t="shared" si="3"/>
        <v>985</v>
      </c>
      <c r="G17" s="12">
        <f t="shared" si="3"/>
        <v>840</v>
      </c>
      <c r="H17" s="12">
        <f t="shared" si="3"/>
        <v>2618</v>
      </c>
      <c r="I17" s="12">
        <f t="shared" si="3"/>
        <v>36</v>
      </c>
      <c r="J17" s="12">
        <f t="shared" si="3"/>
        <v>254</v>
      </c>
      <c r="K17" s="12">
        <f t="shared" si="3"/>
        <v>276</v>
      </c>
      <c r="L17" s="12">
        <f t="shared" si="3"/>
        <v>0</v>
      </c>
      <c r="M17" s="12">
        <f t="shared" si="3"/>
        <v>234</v>
      </c>
      <c r="N17" s="12">
        <f t="shared" si="3"/>
        <v>154</v>
      </c>
      <c r="O17" s="12">
        <f t="shared" si="3"/>
        <v>0</v>
      </c>
      <c r="P17" s="12">
        <f t="shared" si="3"/>
        <v>212</v>
      </c>
      <c r="Q17" s="12">
        <f t="shared" si="3"/>
        <v>90</v>
      </c>
      <c r="R17" s="12">
        <f t="shared" si="3"/>
        <v>159</v>
      </c>
      <c r="T17">
        <f t="shared" si="1"/>
        <v>5945</v>
      </c>
    </row>
    <row r="18" spans="1:20" x14ac:dyDescent="0.25">
      <c r="A18" s="16"/>
      <c r="B18" s="17"/>
      <c r="T18">
        <f t="shared" si="1"/>
        <v>0</v>
      </c>
    </row>
    <row r="19" spans="1:20" x14ac:dyDescent="0.25">
      <c r="A19" s="15">
        <v>5</v>
      </c>
      <c r="B19" t="s">
        <v>316</v>
      </c>
      <c r="T19">
        <f t="shared" si="1"/>
        <v>0</v>
      </c>
    </row>
    <row r="20" spans="1:20" x14ac:dyDescent="0.25">
      <c r="A20" s="15">
        <v>6</v>
      </c>
      <c r="B20" t="s">
        <v>317</v>
      </c>
      <c r="K20" s="12">
        <v>1</v>
      </c>
      <c r="T20">
        <f t="shared" si="1"/>
        <v>1</v>
      </c>
    </row>
    <row r="21" spans="1:20" x14ac:dyDescent="0.25">
      <c r="A21" s="15">
        <v>7</v>
      </c>
      <c r="B21" t="s">
        <v>318</v>
      </c>
      <c r="C21" s="12">
        <v>0</v>
      </c>
      <c r="F21" s="12">
        <v>1</v>
      </c>
      <c r="G21" s="12">
        <v>1</v>
      </c>
      <c r="H21" s="12">
        <v>3</v>
      </c>
      <c r="I21" s="12">
        <v>0</v>
      </c>
      <c r="K21" s="12">
        <v>1</v>
      </c>
      <c r="L21" s="12">
        <v>8</v>
      </c>
      <c r="R21" s="12">
        <v>0</v>
      </c>
      <c r="T21">
        <f t="shared" si="1"/>
        <v>14</v>
      </c>
    </row>
    <row r="22" spans="1:20" x14ac:dyDescent="0.25">
      <c r="A22" s="10" t="s">
        <v>429</v>
      </c>
      <c r="C22" s="12">
        <f>SUM(C19:C21)</f>
        <v>0</v>
      </c>
      <c r="D22" s="12">
        <f t="shared" ref="D22:R22" si="4">SUM(D19:D21)</f>
        <v>0</v>
      </c>
      <c r="E22" s="12">
        <f t="shared" si="4"/>
        <v>0</v>
      </c>
      <c r="F22" s="12">
        <f t="shared" si="4"/>
        <v>1</v>
      </c>
      <c r="G22" s="12">
        <f t="shared" si="4"/>
        <v>1</v>
      </c>
      <c r="H22" s="12">
        <f t="shared" si="4"/>
        <v>3</v>
      </c>
      <c r="I22" s="12">
        <f t="shared" si="4"/>
        <v>0</v>
      </c>
      <c r="J22">
        <f t="shared" si="4"/>
        <v>0</v>
      </c>
      <c r="K22" s="12">
        <f t="shared" si="4"/>
        <v>2</v>
      </c>
      <c r="L22" s="12">
        <f t="shared" si="4"/>
        <v>8</v>
      </c>
      <c r="M22" s="12">
        <f t="shared" si="4"/>
        <v>0</v>
      </c>
      <c r="N22" s="12">
        <f t="shared" si="4"/>
        <v>0</v>
      </c>
      <c r="O22">
        <f t="shared" si="4"/>
        <v>0</v>
      </c>
      <c r="P22" s="12">
        <f t="shared" si="4"/>
        <v>0</v>
      </c>
      <c r="Q22" s="12">
        <f t="shared" si="4"/>
        <v>0</v>
      </c>
      <c r="R22" s="12">
        <f t="shared" si="4"/>
        <v>0</v>
      </c>
      <c r="T22">
        <f t="shared" si="1"/>
        <v>15</v>
      </c>
    </row>
    <row r="23" spans="1:20" x14ac:dyDescent="0.25">
      <c r="T23">
        <f t="shared" si="1"/>
        <v>0</v>
      </c>
    </row>
    <row r="24" spans="1:20" x14ac:dyDescent="0.25">
      <c r="A24" s="16">
        <v>8</v>
      </c>
      <c r="B24" s="17" t="s">
        <v>319</v>
      </c>
      <c r="C24" s="12">
        <v>1</v>
      </c>
      <c r="K24" s="12">
        <v>0</v>
      </c>
      <c r="R24" s="12">
        <v>1</v>
      </c>
      <c r="T24">
        <f t="shared" si="1"/>
        <v>1</v>
      </c>
    </row>
    <row r="25" spans="1:20" x14ac:dyDescent="0.25">
      <c r="A25" s="16">
        <v>9</v>
      </c>
      <c r="B25" s="17" t="s">
        <v>320</v>
      </c>
      <c r="C25" s="12">
        <v>0</v>
      </c>
      <c r="H25" s="12">
        <v>0</v>
      </c>
      <c r="K25" s="12">
        <v>0</v>
      </c>
      <c r="L25" s="12">
        <v>0</v>
      </c>
      <c r="R25" s="12">
        <v>0</v>
      </c>
      <c r="T25">
        <f t="shared" si="1"/>
        <v>0</v>
      </c>
    </row>
    <row r="26" spans="1:20" x14ac:dyDescent="0.25">
      <c r="A26" s="15">
        <v>10</v>
      </c>
      <c r="B26" t="s">
        <v>321</v>
      </c>
      <c r="C26" s="12">
        <v>98</v>
      </c>
      <c r="D26" s="12">
        <v>85</v>
      </c>
      <c r="E26" s="12">
        <v>22</v>
      </c>
      <c r="F26" s="12">
        <v>130</v>
      </c>
      <c r="G26" s="12">
        <v>140</v>
      </c>
      <c r="H26" s="12">
        <v>263</v>
      </c>
      <c r="I26" s="12">
        <v>10</v>
      </c>
      <c r="K26" s="12">
        <v>63</v>
      </c>
      <c r="M26" s="12">
        <v>39</v>
      </c>
      <c r="N26" s="12">
        <v>16</v>
      </c>
      <c r="P26" s="12">
        <v>42</v>
      </c>
      <c r="Q26" s="12">
        <v>20</v>
      </c>
      <c r="R26" s="12">
        <v>1</v>
      </c>
      <c r="S26" s="12">
        <v>50</v>
      </c>
      <c r="T26">
        <f t="shared" si="1"/>
        <v>796</v>
      </c>
    </row>
    <row r="27" spans="1:20" x14ac:dyDescent="0.25">
      <c r="A27" s="16">
        <v>11</v>
      </c>
      <c r="B27" s="17" t="s">
        <v>322</v>
      </c>
      <c r="C27" s="12">
        <v>47</v>
      </c>
      <c r="D27" s="12">
        <v>24</v>
      </c>
      <c r="E27" s="12">
        <v>27</v>
      </c>
      <c r="F27" s="12">
        <v>26</v>
      </c>
      <c r="G27" s="12">
        <v>36</v>
      </c>
      <c r="H27" s="12">
        <v>48</v>
      </c>
      <c r="K27" s="12">
        <v>69</v>
      </c>
      <c r="L27" s="12">
        <v>0</v>
      </c>
      <c r="M27" s="12">
        <v>24</v>
      </c>
      <c r="N27" s="12">
        <v>12</v>
      </c>
      <c r="P27" s="12">
        <v>25</v>
      </c>
      <c r="Q27" s="12">
        <v>4</v>
      </c>
      <c r="R27" s="12">
        <v>1</v>
      </c>
      <c r="T27">
        <f t="shared" si="1"/>
        <v>272</v>
      </c>
    </row>
    <row r="28" spans="1:20" x14ac:dyDescent="0.25">
      <c r="A28" s="16">
        <v>12</v>
      </c>
      <c r="B28" s="17" t="s">
        <v>323</v>
      </c>
      <c r="C28" s="12">
        <v>1</v>
      </c>
      <c r="G28" s="12">
        <v>1</v>
      </c>
      <c r="K28" s="12">
        <v>2</v>
      </c>
      <c r="T28">
        <f t="shared" si="1"/>
        <v>3</v>
      </c>
    </row>
    <row r="29" spans="1:20" ht="30" x14ac:dyDescent="0.25">
      <c r="A29" s="16">
        <v>13</v>
      </c>
      <c r="B29" s="17" t="s">
        <v>324</v>
      </c>
      <c r="E29" s="12">
        <v>6</v>
      </c>
      <c r="F29" s="12">
        <v>1</v>
      </c>
      <c r="H29" s="12">
        <v>2</v>
      </c>
      <c r="J29">
        <v>2</v>
      </c>
      <c r="K29" s="12">
        <v>1</v>
      </c>
      <c r="L29" s="12">
        <v>0</v>
      </c>
      <c r="M29" s="12">
        <v>3</v>
      </c>
      <c r="P29" s="12">
        <v>0</v>
      </c>
      <c r="R29" s="12">
        <v>0</v>
      </c>
      <c r="S29">
        <v>13</v>
      </c>
      <c r="T29">
        <f t="shared" si="1"/>
        <v>28</v>
      </c>
    </row>
    <row r="30" spans="1:20" x14ac:dyDescent="0.25">
      <c r="T30">
        <f t="shared" si="1"/>
        <v>0</v>
      </c>
    </row>
    <row r="31" spans="1:20" ht="45" x14ac:dyDescent="0.25">
      <c r="B31" s="11" t="s">
        <v>325</v>
      </c>
      <c r="T31">
        <f t="shared" si="1"/>
        <v>0</v>
      </c>
    </row>
    <row r="32" spans="1:20" x14ac:dyDescent="0.25">
      <c r="A32" s="15">
        <v>1</v>
      </c>
      <c r="B32" s="17" t="s">
        <v>326</v>
      </c>
      <c r="C32" s="12">
        <v>687</v>
      </c>
      <c r="D32" s="12">
        <v>404</v>
      </c>
      <c r="G32" s="12">
        <v>4004</v>
      </c>
      <c r="H32" s="12">
        <v>5556</v>
      </c>
      <c r="I32" s="12">
        <v>50</v>
      </c>
      <c r="K32" s="12">
        <v>1079</v>
      </c>
      <c r="L32" s="12">
        <v>0</v>
      </c>
      <c r="N32" s="12">
        <v>1</v>
      </c>
      <c r="P32" s="12">
        <v>1</v>
      </c>
      <c r="R32" s="12">
        <v>1</v>
      </c>
      <c r="T32">
        <f t="shared" si="1"/>
        <v>10692</v>
      </c>
    </row>
    <row r="33" spans="1:20" x14ac:dyDescent="0.25">
      <c r="A33" s="15">
        <v>2</v>
      </c>
      <c r="B33" s="17" t="s">
        <v>327</v>
      </c>
      <c r="C33" s="12">
        <v>73</v>
      </c>
      <c r="D33" s="12">
        <v>87</v>
      </c>
      <c r="G33" s="12">
        <v>840</v>
      </c>
      <c r="H33" s="12">
        <v>2633</v>
      </c>
      <c r="K33" s="12">
        <v>141</v>
      </c>
      <c r="T33">
        <f t="shared" si="1"/>
        <v>3614</v>
      </c>
    </row>
    <row r="34" spans="1:20" x14ac:dyDescent="0.25">
      <c r="A34" s="15">
        <v>3</v>
      </c>
      <c r="B34" s="17" t="s">
        <v>328</v>
      </c>
      <c r="C34" s="12">
        <v>4</v>
      </c>
      <c r="D34" s="12">
        <v>24</v>
      </c>
      <c r="G34" s="12">
        <v>29</v>
      </c>
      <c r="T34">
        <f t="shared" si="1"/>
        <v>29</v>
      </c>
    </row>
    <row r="35" spans="1:20" x14ac:dyDescent="0.25">
      <c r="A35" s="16">
        <v>4</v>
      </c>
      <c r="B35" s="17" t="s">
        <v>329</v>
      </c>
      <c r="C35" s="12">
        <v>98</v>
      </c>
      <c r="D35" s="12">
        <v>22</v>
      </c>
      <c r="G35" s="12">
        <v>188</v>
      </c>
      <c r="H35" s="12">
        <v>179</v>
      </c>
      <c r="K35" s="12">
        <v>29</v>
      </c>
      <c r="L35" s="12">
        <v>0</v>
      </c>
      <c r="M35" s="12">
        <v>0</v>
      </c>
      <c r="R35" s="12">
        <v>1</v>
      </c>
      <c r="T35">
        <f t="shared" si="1"/>
        <v>397</v>
      </c>
    </row>
    <row r="36" spans="1:20" x14ac:dyDescent="0.25">
      <c r="A36" s="16">
        <v>5</v>
      </c>
      <c r="B36" s="17" t="s">
        <v>330</v>
      </c>
      <c r="D36" s="12">
        <v>65</v>
      </c>
      <c r="G36" s="12">
        <v>336</v>
      </c>
      <c r="H36" s="12">
        <v>386</v>
      </c>
      <c r="K36" s="12">
        <v>110</v>
      </c>
      <c r="L36" s="12">
        <v>8</v>
      </c>
      <c r="R36" s="12">
        <v>0</v>
      </c>
      <c r="T36">
        <f t="shared" si="1"/>
        <v>840</v>
      </c>
    </row>
    <row r="37" spans="1:20" x14ac:dyDescent="0.25">
      <c r="A37" s="15">
        <v>6</v>
      </c>
      <c r="B37" s="17" t="s">
        <v>331</v>
      </c>
      <c r="L37" s="12">
        <v>4</v>
      </c>
      <c r="M37" s="12">
        <v>0</v>
      </c>
      <c r="T37">
        <f t="shared" si="1"/>
        <v>4</v>
      </c>
    </row>
    <row r="38" spans="1:20" x14ac:dyDescent="0.25">
      <c r="T38">
        <f t="shared" si="1"/>
        <v>0</v>
      </c>
    </row>
    <row r="39" spans="1:20" x14ac:dyDescent="0.25">
      <c r="A39" s="15" t="s">
        <v>430</v>
      </c>
      <c r="C39" s="12">
        <f>SUM(C40:C49)</f>
        <v>44</v>
      </c>
      <c r="D39" s="12">
        <f t="shared" ref="D39:R39" si="5">SUM(D40:D49)</f>
        <v>24</v>
      </c>
      <c r="E39" s="12">
        <f t="shared" si="5"/>
        <v>13</v>
      </c>
      <c r="F39" s="12">
        <f t="shared" si="5"/>
        <v>33</v>
      </c>
      <c r="G39" s="12">
        <f t="shared" si="5"/>
        <v>62</v>
      </c>
      <c r="H39" s="12">
        <f t="shared" si="5"/>
        <v>34</v>
      </c>
      <c r="I39" s="12">
        <f t="shared" si="5"/>
        <v>10</v>
      </c>
      <c r="J39">
        <f t="shared" si="5"/>
        <v>18</v>
      </c>
      <c r="K39" s="12">
        <f t="shared" si="5"/>
        <v>17</v>
      </c>
      <c r="L39" s="12">
        <f t="shared" si="5"/>
        <v>94</v>
      </c>
      <c r="M39" s="12">
        <f t="shared" si="5"/>
        <v>23</v>
      </c>
      <c r="N39" s="12">
        <f t="shared" si="5"/>
        <v>15</v>
      </c>
      <c r="O39">
        <v>15</v>
      </c>
      <c r="P39" s="12">
        <f t="shared" si="5"/>
        <v>23</v>
      </c>
      <c r="Q39" s="12">
        <f t="shared" si="5"/>
        <v>14</v>
      </c>
      <c r="R39" s="12">
        <f t="shared" si="5"/>
        <v>20</v>
      </c>
      <c r="T39">
        <f t="shared" si="1"/>
        <v>391</v>
      </c>
    </row>
    <row r="40" spans="1:20" x14ac:dyDescent="0.25">
      <c r="A40" s="15">
        <v>1</v>
      </c>
      <c r="B40" s="17" t="s">
        <v>332</v>
      </c>
      <c r="C40" s="12">
        <v>13</v>
      </c>
      <c r="D40" s="12">
        <v>13</v>
      </c>
      <c r="E40" s="12">
        <v>13</v>
      </c>
      <c r="F40" s="12">
        <v>13</v>
      </c>
      <c r="G40" s="12">
        <v>13</v>
      </c>
      <c r="H40" s="12">
        <v>13</v>
      </c>
      <c r="I40" s="12">
        <v>0</v>
      </c>
      <c r="J40" s="12">
        <v>12</v>
      </c>
      <c r="K40" s="12">
        <v>13</v>
      </c>
      <c r="L40" s="12">
        <v>13</v>
      </c>
      <c r="M40" s="12">
        <v>13</v>
      </c>
      <c r="N40" s="12">
        <v>13</v>
      </c>
      <c r="O40">
        <v>12</v>
      </c>
      <c r="P40" s="12">
        <v>13</v>
      </c>
      <c r="Q40" s="12">
        <v>10</v>
      </c>
      <c r="R40" s="12">
        <v>12</v>
      </c>
      <c r="T40">
        <f t="shared" si="1"/>
        <v>163</v>
      </c>
    </row>
    <row r="41" spans="1:20" x14ac:dyDescent="0.25">
      <c r="A41" s="15">
        <v>2</v>
      </c>
      <c r="B41" s="17" t="s">
        <v>333</v>
      </c>
      <c r="C41" s="12">
        <v>18</v>
      </c>
      <c r="D41" s="12">
        <v>6</v>
      </c>
      <c r="F41" s="12">
        <v>10</v>
      </c>
      <c r="G41" s="12">
        <v>25</v>
      </c>
      <c r="H41" s="12">
        <v>2</v>
      </c>
      <c r="I41" s="12">
        <v>10</v>
      </c>
      <c r="J41" s="12">
        <v>6</v>
      </c>
      <c r="K41" s="12">
        <v>1</v>
      </c>
      <c r="L41" s="12">
        <v>15</v>
      </c>
      <c r="M41" s="12">
        <v>10</v>
      </c>
      <c r="N41" s="12">
        <v>2</v>
      </c>
      <c r="O41">
        <v>3</v>
      </c>
      <c r="P41" s="12">
        <v>8</v>
      </c>
      <c r="Q41" s="12">
        <v>0</v>
      </c>
      <c r="R41" s="12">
        <v>1</v>
      </c>
      <c r="S41" s="12">
        <v>13</v>
      </c>
      <c r="T41">
        <f t="shared" si="1"/>
        <v>106</v>
      </c>
    </row>
    <row r="42" spans="1:20" x14ac:dyDescent="0.25">
      <c r="A42" s="15">
        <v>3</v>
      </c>
      <c r="B42" s="17" t="s">
        <v>334</v>
      </c>
      <c r="F42" s="12">
        <v>0</v>
      </c>
      <c r="G42" s="12">
        <v>3</v>
      </c>
      <c r="H42" s="12">
        <v>1</v>
      </c>
      <c r="M42" s="12">
        <v>0</v>
      </c>
      <c r="N42" s="12">
        <v>0</v>
      </c>
      <c r="R42" s="12">
        <v>2</v>
      </c>
      <c r="T42">
        <f t="shared" si="1"/>
        <v>6</v>
      </c>
    </row>
    <row r="43" spans="1:20" x14ac:dyDescent="0.25">
      <c r="A43" s="15">
        <v>4</v>
      </c>
      <c r="B43" s="17" t="s">
        <v>335</v>
      </c>
      <c r="H43" s="12">
        <v>1</v>
      </c>
      <c r="R43" s="12">
        <v>2</v>
      </c>
      <c r="T43">
        <f t="shared" si="1"/>
        <v>3</v>
      </c>
    </row>
    <row r="44" spans="1:20" x14ac:dyDescent="0.25">
      <c r="A44" s="15">
        <v>5</v>
      </c>
      <c r="B44" s="17" t="s">
        <v>336</v>
      </c>
      <c r="H44" s="12">
        <v>0</v>
      </c>
      <c r="T44">
        <f t="shared" si="1"/>
        <v>0</v>
      </c>
    </row>
    <row r="45" spans="1:20" x14ac:dyDescent="0.25">
      <c r="A45" s="15">
        <v>6</v>
      </c>
      <c r="B45" s="17" t="s">
        <v>337</v>
      </c>
      <c r="C45" s="12">
        <v>1</v>
      </c>
      <c r="D45" s="12">
        <v>1</v>
      </c>
      <c r="H45" s="12">
        <v>0</v>
      </c>
      <c r="L45" s="12">
        <v>0</v>
      </c>
      <c r="M45" s="12">
        <v>0</v>
      </c>
      <c r="R45" s="12">
        <v>1</v>
      </c>
      <c r="T45">
        <f t="shared" si="1"/>
        <v>1</v>
      </c>
    </row>
    <row r="46" spans="1:20" x14ac:dyDescent="0.25">
      <c r="A46" s="15">
        <v>7</v>
      </c>
      <c r="B46" s="17" t="s">
        <v>338</v>
      </c>
      <c r="C46" s="12">
        <v>3</v>
      </c>
      <c r="D46" s="12">
        <v>1</v>
      </c>
      <c r="G46" s="12">
        <v>1</v>
      </c>
      <c r="H46" s="12">
        <v>3</v>
      </c>
      <c r="K46" s="12">
        <v>1</v>
      </c>
      <c r="L46" s="12">
        <v>8</v>
      </c>
      <c r="P46" s="12">
        <v>1</v>
      </c>
      <c r="R46" s="12">
        <v>0</v>
      </c>
      <c r="T46">
        <f t="shared" si="1"/>
        <v>14</v>
      </c>
    </row>
    <row r="47" spans="1:20" x14ac:dyDescent="0.25">
      <c r="A47" s="15">
        <v>8</v>
      </c>
      <c r="B47" s="17" t="s">
        <v>339</v>
      </c>
      <c r="C47" s="12">
        <v>1</v>
      </c>
      <c r="F47" s="12">
        <v>3</v>
      </c>
      <c r="G47" s="12">
        <v>5</v>
      </c>
      <c r="H47" s="12">
        <v>2</v>
      </c>
      <c r="I47" s="12">
        <v>0</v>
      </c>
      <c r="K47" s="12">
        <v>1</v>
      </c>
      <c r="L47" s="12">
        <v>4</v>
      </c>
      <c r="P47" s="12">
        <v>1</v>
      </c>
      <c r="S47">
        <v>31</v>
      </c>
      <c r="T47">
        <f t="shared" si="1"/>
        <v>47</v>
      </c>
    </row>
    <row r="48" spans="1:20" x14ac:dyDescent="0.25">
      <c r="A48" s="15">
        <v>9</v>
      </c>
      <c r="B48" s="17" t="s">
        <v>340</v>
      </c>
      <c r="C48" s="12">
        <v>0</v>
      </c>
      <c r="E48" s="12">
        <v>0</v>
      </c>
      <c r="F48" s="12">
        <v>4</v>
      </c>
      <c r="G48" s="12">
        <v>9</v>
      </c>
      <c r="K48" s="12">
        <v>1</v>
      </c>
      <c r="L48" s="12">
        <v>51</v>
      </c>
      <c r="Q48" s="12">
        <v>4</v>
      </c>
      <c r="R48" s="12">
        <v>2</v>
      </c>
      <c r="T48">
        <f t="shared" si="1"/>
        <v>71</v>
      </c>
    </row>
    <row r="49" spans="1:20" x14ac:dyDescent="0.25">
      <c r="A49" s="15">
        <v>10</v>
      </c>
      <c r="B49" s="17" t="s">
        <v>341</v>
      </c>
      <c r="C49" s="12">
        <v>8</v>
      </c>
      <c r="D49" s="12">
        <v>3</v>
      </c>
      <c r="E49" s="12">
        <v>0</v>
      </c>
      <c r="F49" s="12">
        <v>3</v>
      </c>
      <c r="G49" s="12">
        <v>6</v>
      </c>
      <c r="H49" s="12">
        <v>12</v>
      </c>
      <c r="K49" s="12">
        <v>0</v>
      </c>
      <c r="L49" s="12">
        <v>3</v>
      </c>
      <c r="M49" s="12">
        <v>0</v>
      </c>
      <c r="P49" s="12">
        <v>0</v>
      </c>
      <c r="Q49" s="12">
        <v>0</v>
      </c>
      <c r="R49" s="12">
        <v>0</v>
      </c>
      <c r="T49">
        <f t="shared" si="1"/>
        <v>24</v>
      </c>
    </row>
    <row r="50" spans="1:20" x14ac:dyDescent="0.25">
      <c r="T50">
        <f t="shared" si="1"/>
        <v>0</v>
      </c>
    </row>
    <row r="51" spans="1:20" x14ac:dyDescent="0.25">
      <c r="A51" s="15" t="s">
        <v>431</v>
      </c>
      <c r="C51" s="12">
        <f>SUM(C52:C61)</f>
        <v>25</v>
      </c>
      <c r="D51" s="12">
        <f t="shared" ref="D51:R51" si="6">SUM(D52:D61)</f>
        <v>20</v>
      </c>
      <c r="E51" s="12">
        <f t="shared" si="6"/>
        <v>33</v>
      </c>
      <c r="F51" s="12">
        <f t="shared" si="6"/>
        <v>55</v>
      </c>
      <c r="G51" s="12">
        <f t="shared" si="6"/>
        <v>92</v>
      </c>
      <c r="H51" s="12">
        <f t="shared" si="6"/>
        <v>87</v>
      </c>
      <c r="I51" s="12">
        <f t="shared" si="6"/>
        <v>0</v>
      </c>
      <c r="J51">
        <f t="shared" si="6"/>
        <v>0</v>
      </c>
      <c r="K51" s="12">
        <f t="shared" si="6"/>
        <v>35</v>
      </c>
      <c r="L51" s="12">
        <f t="shared" si="6"/>
        <v>154</v>
      </c>
      <c r="M51" s="12">
        <f t="shared" si="6"/>
        <v>33</v>
      </c>
      <c r="N51" s="12">
        <f>SUM(N52:N61)</f>
        <v>30</v>
      </c>
      <c r="O51">
        <f t="shared" si="6"/>
        <v>1</v>
      </c>
      <c r="P51" s="12">
        <f t="shared" si="6"/>
        <v>29</v>
      </c>
      <c r="Q51" s="12">
        <f t="shared" si="6"/>
        <v>14</v>
      </c>
      <c r="R51" s="12">
        <f t="shared" si="6"/>
        <v>15</v>
      </c>
      <c r="T51">
        <f t="shared" si="1"/>
        <v>578</v>
      </c>
    </row>
    <row r="52" spans="1:20" x14ac:dyDescent="0.25">
      <c r="A52" s="15">
        <v>1</v>
      </c>
      <c r="B52" s="17" t="s">
        <v>342</v>
      </c>
      <c r="C52" s="12">
        <v>1</v>
      </c>
      <c r="D52" s="12">
        <v>0</v>
      </c>
      <c r="F52" s="12">
        <v>5</v>
      </c>
      <c r="G52" s="12">
        <v>13</v>
      </c>
      <c r="H52" s="12">
        <v>17</v>
      </c>
      <c r="I52" s="12">
        <v>0</v>
      </c>
      <c r="K52" s="12">
        <v>5</v>
      </c>
      <c r="L52" s="12">
        <v>20</v>
      </c>
      <c r="N52" s="12">
        <v>1</v>
      </c>
      <c r="O52">
        <v>1</v>
      </c>
      <c r="P52" s="12">
        <v>9</v>
      </c>
      <c r="Q52" s="12">
        <v>2</v>
      </c>
      <c r="R52" s="12">
        <v>1</v>
      </c>
      <c r="S52" s="12">
        <v>3</v>
      </c>
      <c r="T52">
        <f t="shared" si="1"/>
        <v>77</v>
      </c>
    </row>
    <row r="53" spans="1:20" x14ac:dyDescent="0.25">
      <c r="A53" s="15">
        <v>2</v>
      </c>
      <c r="B53" s="17" t="s">
        <v>343</v>
      </c>
      <c r="D53" s="12">
        <v>5</v>
      </c>
      <c r="E53" s="12">
        <v>2</v>
      </c>
      <c r="F53" s="12">
        <v>4</v>
      </c>
      <c r="G53" s="12">
        <v>4</v>
      </c>
      <c r="H53" s="12">
        <v>16</v>
      </c>
      <c r="K53" s="12">
        <v>0</v>
      </c>
      <c r="L53" s="12">
        <v>51</v>
      </c>
      <c r="M53" s="12">
        <v>2</v>
      </c>
      <c r="N53" s="12">
        <v>3</v>
      </c>
      <c r="P53" s="12">
        <v>10</v>
      </c>
      <c r="T53">
        <f t="shared" si="1"/>
        <v>92</v>
      </c>
    </row>
    <row r="54" spans="1:20" x14ac:dyDescent="0.25">
      <c r="A54" s="15">
        <v>3</v>
      </c>
      <c r="B54" s="17" t="s">
        <v>344</v>
      </c>
      <c r="P54" s="12">
        <v>0</v>
      </c>
      <c r="T54">
        <f t="shared" si="1"/>
        <v>0</v>
      </c>
    </row>
    <row r="55" spans="1:20" x14ac:dyDescent="0.25">
      <c r="A55" s="15">
        <v>4</v>
      </c>
      <c r="B55" s="17" t="s">
        <v>345</v>
      </c>
      <c r="G55" s="12">
        <v>2</v>
      </c>
      <c r="P55" s="12">
        <v>0</v>
      </c>
      <c r="T55">
        <f t="shared" si="1"/>
        <v>2</v>
      </c>
    </row>
    <row r="56" spans="1:20" x14ac:dyDescent="0.25">
      <c r="A56" s="15">
        <v>5</v>
      </c>
      <c r="B56" s="17" t="s">
        <v>346</v>
      </c>
      <c r="C56" s="12">
        <v>13</v>
      </c>
      <c r="G56" s="12">
        <v>13</v>
      </c>
      <c r="H56" s="12">
        <v>3</v>
      </c>
      <c r="K56" s="12">
        <v>8</v>
      </c>
      <c r="L56" s="12">
        <v>13</v>
      </c>
      <c r="P56" s="12">
        <v>7</v>
      </c>
      <c r="T56">
        <f t="shared" si="1"/>
        <v>44</v>
      </c>
    </row>
    <row r="57" spans="1:20" x14ac:dyDescent="0.25">
      <c r="A57" s="15">
        <v>6</v>
      </c>
      <c r="B57" s="17" t="s">
        <v>347</v>
      </c>
      <c r="F57" s="12">
        <v>0</v>
      </c>
      <c r="P57" s="12">
        <v>0</v>
      </c>
      <c r="T57">
        <f t="shared" si="1"/>
        <v>0</v>
      </c>
    </row>
    <row r="58" spans="1:20" x14ac:dyDescent="0.25">
      <c r="A58" s="15">
        <v>7</v>
      </c>
      <c r="B58" s="17" t="s">
        <v>348</v>
      </c>
      <c r="C58" s="12">
        <v>11</v>
      </c>
      <c r="D58" s="12">
        <v>8</v>
      </c>
      <c r="E58" s="12">
        <v>31</v>
      </c>
      <c r="F58" s="12">
        <v>36</v>
      </c>
      <c r="G58" s="12">
        <v>41</v>
      </c>
      <c r="H58" s="12">
        <v>28</v>
      </c>
      <c r="K58" s="12">
        <v>20</v>
      </c>
      <c r="L58" s="12">
        <v>70</v>
      </c>
      <c r="M58" s="12">
        <v>31</v>
      </c>
      <c r="N58" s="12">
        <v>25</v>
      </c>
      <c r="P58" s="12">
        <v>2</v>
      </c>
      <c r="Q58" s="12">
        <v>12</v>
      </c>
      <c r="R58" s="12">
        <v>11</v>
      </c>
      <c r="T58">
        <f t="shared" si="1"/>
        <v>307</v>
      </c>
    </row>
    <row r="59" spans="1:20" x14ac:dyDescent="0.25">
      <c r="A59" s="15">
        <v>8</v>
      </c>
      <c r="B59" s="17" t="s">
        <v>349</v>
      </c>
      <c r="G59" s="12">
        <v>1</v>
      </c>
      <c r="L59" s="12">
        <v>0</v>
      </c>
      <c r="R59" s="12">
        <v>1</v>
      </c>
      <c r="T59">
        <f t="shared" si="1"/>
        <v>2</v>
      </c>
    </row>
    <row r="60" spans="1:20" x14ac:dyDescent="0.25">
      <c r="A60" s="15">
        <v>9</v>
      </c>
      <c r="B60" s="17" t="s">
        <v>350</v>
      </c>
      <c r="G60" s="12">
        <v>1</v>
      </c>
      <c r="K60" s="12">
        <v>2</v>
      </c>
      <c r="L60" s="12">
        <v>0</v>
      </c>
      <c r="N60" s="12">
        <v>1</v>
      </c>
      <c r="R60" s="12">
        <v>1</v>
      </c>
      <c r="S60">
        <v>1</v>
      </c>
      <c r="T60">
        <f t="shared" si="1"/>
        <v>6</v>
      </c>
    </row>
    <row r="61" spans="1:20" x14ac:dyDescent="0.25">
      <c r="A61" s="15">
        <v>10</v>
      </c>
      <c r="B61" s="17" t="s">
        <v>351</v>
      </c>
      <c r="D61" s="12">
        <v>7</v>
      </c>
      <c r="F61" s="12">
        <v>10</v>
      </c>
      <c r="G61" s="12">
        <v>17</v>
      </c>
      <c r="H61" s="12">
        <v>23</v>
      </c>
      <c r="I61" s="12">
        <v>0</v>
      </c>
      <c r="P61" s="12">
        <v>1</v>
      </c>
      <c r="R61" s="12">
        <v>1</v>
      </c>
      <c r="T61">
        <f t="shared" si="1"/>
        <v>52</v>
      </c>
    </row>
    <row r="62" spans="1:20" x14ac:dyDescent="0.25">
      <c r="A62" s="16"/>
      <c r="B62" s="17"/>
      <c r="T62">
        <f t="shared" si="1"/>
        <v>0</v>
      </c>
    </row>
    <row r="63" spans="1:20" x14ac:dyDescent="0.25">
      <c r="A63" s="10" t="s">
        <v>352</v>
      </c>
      <c r="T63">
        <f t="shared" si="1"/>
        <v>0</v>
      </c>
    </row>
    <row r="64" spans="1:20" x14ac:dyDescent="0.25">
      <c r="A64" s="15">
        <v>1</v>
      </c>
      <c r="B64" s="17" t="s">
        <v>353</v>
      </c>
      <c r="C64" s="12">
        <v>80</v>
      </c>
      <c r="D64" s="12">
        <v>90</v>
      </c>
      <c r="E64" s="12">
        <v>61</v>
      </c>
      <c r="F64" s="12">
        <v>40</v>
      </c>
      <c r="G64" s="12">
        <v>45</v>
      </c>
      <c r="H64" s="12">
        <v>161</v>
      </c>
      <c r="I64" s="12">
        <v>36</v>
      </c>
      <c r="J64" s="12">
        <v>25</v>
      </c>
      <c r="K64" s="12">
        <v>78</v>
      </c>
      <c r="L64" s="12">
        <v>227</v>
      </c>
      <c r="M64" s="12">
        <v>70</v>
      </c>
      <c r="N64" s="12">
        <v>35</v>
      </c>
      <c r="O64">
        <v>28</v>
      </c>
      <c r="P64" s="12">
        <v>41</v>
      </c>
      <c r="Q64" s="12">
        <v>22</v>
      </c>
      <c r="R64" s="12">
        <v>16</v>
      </c>
      <c r="T64">
        <f t="shared" si="1"/>
        <v>885</v>
      </c>
    </row>
    <row r="65" spans="1:20" x14ac:dyDescent="0.25">
      <c r="A65" s="15">
        <v>2</v>
      </c>
      <c r="B65" s="17" t="s">
        <v>354</v>
      </c>
      <c r="D65" s="12">
        <v>0</v>
      </c>
      <c r="E65" s="12">
        <v>11</v>
      </c>
      <c r="F65" s="12">
        <v>0</v>
      </c>
      <c r="G65" s="12">
        <v>0</v>
      </c>
      <c r="H65" s="12">
        <v>0</v>
      </c>
      <c r="K65" s="12">
        <v>0</v>
      </c>
      <c r="N65" s="12">
        <v>0</v>
      </c>
      <c r="P65" s="12">
        <v>0</v>
      </c>
      <c r="R65" s="12">
        <v>0</v>
      </c>
      <c r="T65">
        <f t="shared" si="1"/>
        <v>11</v>
      </c>
    </row>
    <row r="66" spans="1:20" x14ac:dyDescent="0.25">
      <c r="A66" s="15">
        <v>3</v>
      </c>
      <c r="B66" s="17" t="s">
        <v>355</v>
      </c>
      <c r="D66" s="12">
        <v>0</v>
      </c>
      <c r="F66" s="12">
        <v>0</v>
      </c>
      <c r="G66" s="12">
        <v>0</v>
      </c>
      <c r="H66" s="12">
        <v>0</v>
      </c>
      <c r="K66" s="12">
        <v>0</v>
      </c>
      <c r="P66" s="12">
        <v>0</v>
      </c>
      <c r="R66" s="12">
        <v>0</v>
      </c>
      <c r="T66">
        <f t="shared" si="1"/>
        <v>0</v>
      </c>
    </row>
    <row r="67" spans="1:20" x14ac:dyDescent="0.25">
      <c r="A67" s="15">
        <v>4</v>
      </c>
      <c r="B67" s="17" t="s">
        <v>356</v>
      </c>
      <c r="C67" s="12">
        <v>70</v>
      </c>
      <c r="D67" s="12">
        <v>33</v>
      </c>
      <c r="E67" s="12">
        <v>16</v>
      </c>
      <c r="F67" s="12">
        <v>45</v>
      </c>
      <c r="G67" s="12">
        <v>60</v>
      </c>
      <c r="H67" s="12">
        <v>110</v>
      </c>
      <c r="J67" s="12">
        <v>35</v>
      </c>
      <c r="K67" s="12">
        <v>32</v>
      </c>
      <c r="L67" s="12">
        <v>0</v>
      </c>
      <c r="M67" s="12">
        <v>26</v>
      </c>
      <c r="N67" s="12">
        <v>4</v>
      </c>
      <c r="O67">
        <v>12</v>
      </c>
      <c r="P67" s="12">
        <v>36</v>
      </c>
      <c r="Q67" s="12">
        <v>25</v>
      </c>
      <c r="R67" s="12">
        <v>22</v>
      </c>
      <c r="S67" s="12">
        <v>1</v>
      </c>
      <c r="T67">
        <f t="shared" si="1"/>
        <v>424</v>
      </c>
    </row>
    <row r="68" spans="1:20" x14ac:dyDescent="0.25">
      <c r="A68" s="15">
        <v>5</v>
      </c>
      <c r="B68" s="17" t="s">
        <v>357</v>
      </c>
      <c r="C68" s="12">
        <v>0</v>
      </c>
      <c r="D68" s="12">
        <v>50</v>
      </c>
      <c r="E68" s="12">
        <v>41</v>
      </c>
      <c r="F68" s="12">
        <v>30</v>
      </c>
      <c r="G68" s="12">
        <v>150</v>
      </c>
      <c r="H68" s="12">
        <v>287</v>
      </c>
      <c r="J68" s="12">
        <v>24</v>
      </c>
      <c r="K68" s="12">
        <v>110</v>
      </c>
      <c r="L68" s="12">
        <v>159</v>
      </c>
      <c r="M68" s="12">
        <v>9</v>
      </c>
      <c r="N68" s="12">
        <v>0</v>
      </c>
      <c r="O68">
        <v>23</v>
      </c>
      <c r="P68" s="12">
        <v>11</v>
      </c>
      <c r="Q68" s="12">
        <v>21</v>
      </c>
      <c r="R68" s="12">
        <v>72</v>
      </c>
      <c r="S68" s="12">
        <v>2</v>
      </c>
      <c r="T68">
        <f t="shared" si="1"/>
        <v>939</v>
      </c>
    </row>
    <row r="69" spans="1:20" x14ac:dyDescent="0.25">
      <c r="A69" s="15">
        <v>6</v>
      </c>
      <c r="B69" s="17" t="s">
        <v>358</v>
      </c>
      <c r="C69" s="12">
        <v>0</v>
      </c>
      <c r="D69" s="12">
        <v>47</v>
      </c>
      <c r="E69" s="12">
        <v>11</v>
      </c>
      <c r="F69" s="12">
        <v>60</v>
      </c>
      <c r="G69" s="12">
        <v>70</v>
      </c>
      <c r="H69" s="12">
        <v>165</v>
      </c>
      <c r="J69" s="12">
        <v>23</v>
      </c>
      <c r="K69" s="12">
        <v>75</v>
      </c>
      <c r="L69" s="12">
        <v>280</v>
      </c>
      <c r="M69" s="12">
        <v>13</v>
      </c>
      <c r="N69" s="12">
        <v>4</v>
      </c>
      <c r="O69">
        <v>29</v>
      </c>
      <c r="P69" s="12">
        <v>37</v>
      </c>
      <c r="Q69" s="12">
        <v>23</v>
      </c>
      <c r="R69" s="12">
        <v>23</v>
      </c>
      <c r="T69">
        <f t="shared" ref="T69:T102" si="7">SUM(E69:S69)</f>
        <v>813</v>
      </c>
    </row>
    <row r="70" spans="1:20" x14ac:dyDescent="0.25">
      <c r="A70" s="15">
        <v>7</v>
      </c>
      <c r="B70" s="17" t="s">
        <v>359</v>
      </c>
      <c r="C70" s="12">
        <v>150</v>
      </c>
      <c r="D70" s="12">
        <v>100</v>
      </c>
      <c r="E70" s="12">
        <v>18</v>
      </c>
      <c r="F70" s="12">
        <v>45</v>
      </c>
      <c r="G70" s="12">
        <v>65</v>
      </c>
      <c r="H70" s="12">
        <v>134</v>
      </c>
      <c r="K70" s="12">
        <v>92</v>
      </c>
      <c r="L70" s="12">
        <v>0</v>
      </c>
      <c r="M70" s="12">
        <v>15</v>
      </c>
      <c r="N70" s="12">
        <v>8</v>
      </c>
      <c r="O70">
        <v>30</v>
      </c>
      <c r="P70" s="12">
        <v>41</v>
      </c>
      <c r="Q70" s="12">
        <v>15</v>
      </c>
      <c r="R70" s="12">
        <v>27</v>
      </c>
      <c r="T70">
        <f t="shared" si="7"/>
        <v>490</v>
      </c>
    </row>
    <row r="71" spans="1:20" x14ac:dyDescent="0.25">
      <c r="A71" s="15">
        <v>8</v>
      </c>
      <c r="B71" s="17" t="s">
        <v>360</v>
      </c>
      <c r="C71" s="12">
        <v>0</v>
      </c>
      <c r="D71" s="12">
        <v>0</v>
      </c>
      <c r="E71" s="12">
        <v>0</v>
      </c>
      <c r="F71" s="12">
        <v>60</v>
      </c>
      <c r="G71" s="12">
        <v>45</v>
      </c>
      <c r="H71" s="12">
        <v>0</v>
      </c>
      <c r="K71" s="12">
        <v>45</v>
      </c>
      <c r="L71" s="12">
        <v>0</v>
      </c>
      <c r="M71" s="12">
        <v>0</v>
      </c>
      <c r="P71" s="12">
        <v>13</v>
      </c>
      <c r="Q71" s="12">
        <v>0</v>
      </c>
      <c r="T71">
        <f t="shared" si="7"/>
        <v>163</v>
      </c>
    </row>
    <row r="72" spans="1:20" x14ac:dyDescent="0.25">
      <c r="A72" s="15">
        <v>9</v>
      </c>
      <c r="B72" s="17" t="s">
        <v>361</v>
      </c>
      <c r="C72" s="12">
        <v>0</v>
      </c>
      <c r="D72" s="12">
        <v>0</v>
      </c>
      <c r="E72" s="12">
        <v>0</v>
      </c>
      <c r="F72" s="12">
        <v>100</v>
      </c>
      <c r="G72" s="12">
        <v>80</v>
      </c>
      <c r="H72" s="12">
        <v>0</v>
      </c>
      <c r="K72" s="12">
        <v>39</v>
      </c>
      <c r="L72" s="12">
        <v>0</v>
      </c>
      <c r="N72" s="12">
        <v>0</v>
      </c>
      <c r="O72">
        <v>23</v>
      </c>
      <c r="P72" s="12">
        <v>11</v>
      </c>
      <c r="Q72" s="12">
        <v>0</v>
      </c>
      <c r="T72">
        <f t="shared" si="7"/>
        <v>253</v>
      </c>
    </row>
    <row r="73" spans="1:20" x14ac:dyDescent="0.25">
      <c r="A73" s="15">
        <v>10</v>
      </c>
      <c r="B73" s="17" t="s">
        <v>362</v>
      </c>
      <c r="C73" s="12">
        <v>0</v>
      </c>
      <c r="D73" s="12">
        <v>0</v>
      </c>
      <c r="E73" s="12">
        <v>0</v>
      </c>
      <c r="F73" s="12">
        <v>65</v>
      </c>
      <c r="G73" s="12">
        <v>90</v>
      </c>
      <c r="H73" s="12">
        <v>0</v>
      </c>
      <c r="J73" s="12">
        <v>15</v>
      </c>
      <c r="K73" s="12">
        <v>65</v>
      </c>
      <c r="L73" s="12">
        <v>0</v>
      </c>
      <c r="N73" s="12">
        <v>0</v>
      </c>
      <c r="O73">
        <v>38</v>
      </c>
      <c r="P73" s="12">
        <v>0</v>
      </c>
      <c r="Q73" s="12">
        <v>22</v>
      </c>
      <c r="R73" s="12">
        <v>0</v>
      </c>
      <c r="T73">
        <f t="shared" si="7"/>
        <v>295</v>
      </c>
    </row>
    <row r="74" spans="1:20" x14ac:dyDescent="0.25">
      <c r="A74" s="15">
        <v>11</v>
      </c>
      <c r="B74" s="17" t="s">
        <v>363</v>
      </c>
      <c r="C74" s="12">
        <v>0</v>
      </c>
      <c r="H74" s="12">
        <v>0</v>
      </c>
      <c r="Q74" s="12">
        <v>0</v>
      </c>
      <c r="T74">
        <f t="shared" si="7"/>
        <v>0</v>
      </c>
    </row>
    <row r="75" spans="1:20" x14ac:dyDescent="0.25">
      <c r="A75" s="15">
        <v>12</v>
      </c>
      <c r="B75" s="17" t="s">
        <v>364</v>
      </c>
      <c r="D75" s="12">
        <v>148</v>
      </c>
      <c r="F75" s="12">
        <v>0</v>
      </c>
      <c r="G75" s="12">
        <v>120</v>
      </c>
      <c r="H75" s="12">
        <v>166</v>
      </c>
      <c r="K75" s="12">
        <v>120</v>
      </c>
      <c r="N75" s="12">
        <v>80</v>
      </c>
      <c r="R75" s="12">
        <v>0</v>
      </c>
      <c r="T75">
        <f t="shared" si="7"/>
        <v>486</v>
      </c>
    </row>
    <row r="76" spans="1:20" x14ac:dyDescent="0.25">
      <c r="T76">
        <f t="shared" si="7"/>
        <v>0</v>
      </c>
    </row>
    <row r="77" spans="1:20" x14ac:dyDescent="0.25">
      <c r="A77" s="10" t="s">
        <v>365</v>
      </c>
      <c r="C77" s="12">
        <v>0</v>
      </c>
      <c r="D77" s="12">
        <f t="shared" ref="D77:R77" si="8">SUM(D78,D82)</f>
        <v>1</v>
      </c>
      <c r="E77" s="12">
        <f t="shared" si="8"/>
        <v>0</v>
      </c>
      <c r="H77" s="12">
        <f t="shared" si="8"/>
        <v>5</v>
      </c>
      <c r="K77" s="12">
        <f t="shared" si="8"/>
        <v>2</v>
      </c>
      <c r="L77" s="12">
        <f t="shared" si="8"/>
        <v>0</v>
      </c>
      <c r="M77" s="12">
        <f t="shared" si="8"/>
        <v>0</v>
      </c>
      <c r="N77" s="12">
        <f t="shared" si="8"/>
        <v>0</v>
      </c>
      <c r="O77">
        <f t="shared" si="8"/>
        <v>0</v>
      </c>
      <c r="P77" s="12">
        <f t="shared" si="8"/>
        <v>0</v>
      </c>
      <c r="R77" s="12">
        <f t="shared" si="8"/>
        <v>0</v>
      </c>
      <c r="T77">
        <f t="shared" si="7"/>
        <v>7</v>
      </c>
    </row>
    <row r="78" spans="1:20" x14ac:dyDescent="0.25">
      <c r="A78" s="15">
        <v>1</v>
      </c>
      <c r="B78" s="17" t="s">
        <v>366</v>
      </c>
      <c r="C78" s="12">
        <v>1</v>
      </c>
      <c r="D78" s="12">
        <v>1</v>
      </c>
      <c r="E78" s="12">
        <f t="shared" ref="E78:P78" si="9">SUM(E79:E81)</f>
        <v>0</v>
      </c>
      <c r="F78" s="12">
        <v>1</v>
      </c>
      <c r="G78" s="12">
        <v>2</v>
      </c>
      <c r="H78" s="12">
        <v>4</v>
      </c>
      <c r="I78" s="12">
        <v>1</v>
      </c>
      <c r="K78" s="12">
        <v>2</v>
      </c>
      <c r="L78" s="12">
        <f t="shared" si="9"/>
        <v>0</v>
      </c>
      <c r="M78" s="12">
        <f t="shared" si="9"/>
        <v>0</v>
      </c>
      <c r="N78" s="12">
        <v>0</v>
      </c>
      <c r="O78">
        <f t="shared" si="9"/>
        <v>0</v>
      </c>
      <c r="P78" s="12">
        <f t="shared" si="9"/>
        <v>0</v>
      </c>
      <c r="Q78" s="12">
        <v>1</v>
      </c>
      <c r="R78" s="12">
        <v>0</v>
      </c>
      <c r="T78">
        <f t="shared" si="7"/>
        <v>11</v>
      </c>
    </row>
    <row r="79" spans="1:20" x14ac:dyDescent="0.25">
      <c r="A79" s="15">
        <v>1.1000000000000001</v>
      </c>
      <c r="B79" s="17" t="s">
        <v>367</v>
      </c>
      <c r="C79" s="12">
        <v>1</v>
      </c>
      <c r="D79" s="12">
        <v>1</v>
      </c>
      <c r="F79" s="12">
        <v>1</v>
      </c>
      <c r="G79" s="12">
        <v>1</v>
      </c>
      <c r="H79" s="12">
        <v>1</v>
      </c>
      <c r="J79" s="12">
        <v>1</v>
      </c>
      <c r="K79" s="12">
        <v>1</v>
      </c>
      <c r="N79" s="12">
        <v>1</v>
      </c>
      <c r="T79">
        <f t="shared" si="7"/>
        <v>6</v>
      </c>
    </row>
    <row r="80" spans="1:20" x14ac:dyDescent="0.25">
      <c r="A80" s="15">
        <v>1.2</v>
      </c>
      <c r="B80" s="17" t="s">
        <v>368</v>
      </c>
      <c r="C80" s="12">
        <v>0</v>
      </c>
      <c r="D80" s="12">
        <v>1</v>
      </c>
      <c r="G80" s="12">
        <v>1</v>
      </c>
      <c r="H80" s="12">
        <v>1</v>
      </c>
      <c r="K80" s="12">
        <v>0</v>
      </c>
      <c r="N80" s="12">
        <v>0</v>
      </c>
      <c r="R80" s="12">
        <v>0</v>
      </c>
      <c r="T80">
        <f t="shared" si="7"/>
        <v>2</v>
      </c>
    </row>
    <row r="81" spans="1:20" x14ac:dyDescent="0.25">
      <c r="A81" s="15">
        <v>1.3</v>
      </c>
      <c r="B81" s="17" t="s">
        <v>369</v>
      </c>
      <c r="D81" s="12">
        <v>1</v>
      </c>
      <c r="H81" s="12">
        <v>1</v>
      </c>
      <c r="K81" s="12">
        <v>1</v>
      </c>
      <c r="T81">
        <f t="shared" si="7"/>
        <v>2</v>
      </c>
    </row>
    <row r="82" spans="1:20" x14ac:dyDescent="0.25">
      <c r="A82" s="15">
        <v>2</v>
      </c>
      <c r="B82" s="17" t="s">
        <v>370</v>
      </c>
      <c r="C82" s="12">
        <v>2</v>
      </c>
      <c r="H82" s="12">
        <v>1</v>
      </c>
      <c r="T82">
        <f t="shared" si="7"/>
        <v>1</v>
      </c>
    </row>
    <row r="83" spans="1:20" x14ac:dyDescent="0.25">
      <c r="A83" s="15">
        <v>3</v>
      </c>
      <c r="B83" s="17" t="s">
        <v>371</v>
      </c>
      <c r="L83" s="12">
        <v>0</v>
      </c>
      <c r="N83" s="12">
        <v>1</v>
      </c>
      <c r="T83">
        <f t="shared" si="7"/>
        <v>1</v>
      </c>
    </row>
    <row r="84" spans="1:20" ht="30" x14ac:dyDescent="0.25">
      <c r="A84" s="15">
        <v>4</v>
      </c>
      <c r="B84" s="17" t="s">
        <v>372</v>
      </c>
      <c r="P84" s="12">
        <v>0</v>
      </c>
      <c r="T84">
        <f t="shared" si="7"/>
        <v>0</v>
      </c>
    </row>
    <row r="85" spans="1:20" x14ac:dyDescent="0.25">
      <c r="T85">
        <f t="shared" si="7"/>
        <v>0</v>
      </c>
    </row>
    <row r="86" spans="1:20" x14ac:dyDescent="0.25">
      <c r="A86" s="10" t="s">
        <v>373</v>
      </c>
      <c r="T86">
        <f t="shared" si="7"/>
        <v>0</v>
      </c>
    </row>
    <row r="87" spans="1:20" x14ac:dyDescent="0.25">
      <c r="A87" s="15">
        <v>1</v>
      </c>
      <c r="B87" s="17" t="s">
        <v>374</v>
      </c>
      <c r="C87" s="12">
        <v>50</v>
      </c>
      <c r="D87" s="12">
        <v>50</v>
      </c>
      <c r="G87" s="12">
        <v>1</v>
      </c>
      <c r="I87" s="12">
        <v>5</v>
      </c>
      <c r="K87" s="12">
        <v>0</v>
      </c>
      <c r="P87" s="12">
        <v>0</v>
      </c>
      <c r="Q87" s="12">
        <v>1</v>
      </c>
      <c r="T87">
        <f t="shared" si="7"/>
        <v>7</v>
      </c>
    </row>
    <row r="88" spans="1:20" x14ac:dyDescent="0.25">
      <c r="A88" s="16">
        <v>2</v>
      </c>
      <c r="B88" s="17" t="s">
        <v>375</v>
      </c>
      <c r="C88" s="12">
        <v>3</v>
      </c>
      <c r="K88" s="12">
        <v>3</v>
      </c>
      <c r="M88" s="12">
        <v>31</v>
      </c>
      <c r="N88" s="12">
        <v>25</v>
      </c>
      <c r="T88">
        <f t="shared" si="7"/>
        <v>59</v>
      </c>
    </row>
    <row r="89" spans="1:20" x14ac:dyDescent="0.25">
      <c r="A89" s="15">
        <v>3</v>
      </c>
      <c r="B89" s="17" t="s">
        <v>376</v>
      </c>
      <c r="C89" s="12">
        <v>0</v>
      </c>
      <c r="D89" s="12">
        <v>0</v>
      </c>
      <c r="G89" s="12">
        <v>30</v>
      </c>
      <c r="H89" s="12">
        <v>0</v>
      </c>
      <c r="I89" s="12">
        <v>13</v>
      </c>
      <c r="K89" s="12">
        <v>0</v>
      </c>
      <c r="L89" s="12">
        <v>10</v>
      </c>
      <c r="P89" s="12">
        <v>0</v>
      </c>
      <c r="R89" s="12">
        <v>0</v>
      </c>
      <c r="T89">
        <f t="shared" si="7"/>
        <v>53</v>
      </c>
    </row>
    <row r="90" spans="1:20" x14ac:dyDescent="0.25">
      <c r="A90" s="15">
        <v>4</v>
      </c>
      <c r="B90" s="17" t="s">
        <v>377</v>
      </c>
      <c r="F90" s="12">
        <v>13</v>
      </c>
      <c r="G90" s="12">
        <v>13</v>
      </c>
      <c r="N90" s="12">
        <v>24</v>
      </c>
      <c r="P90" s="12">
        <v>11</v>
      </c>
      <c r="Q90" s="12">
        <v>10</v>
      </c>
      <c r="R90" s="12">
        <v>7</v>
      </c>
      <c r="T90">
        <f t="shared" si="7"/>
        <v>78</v>
      </c>
    </row>
    <row r="91" spans="1:20" x14ac:dyDescent="0.25">
      <c r="A91" s="15">
        <v>5</v>
      </c>
      <c r="B91" s="17" t="s">
        <v>378</v>
      </c>
      <c r="F91" s="12">
        <v>1</v>
      </c>
      <c r="G91" s="12">
        <v>3</v>
      </c>
      <c r="H91" s="12">
        <v>1</v>
      </c>
      <c r="L91" s="12">
        <v>14</v>
      </c>
      <c r="P91" s="12">
        <v>13</v>
      </c>
      <c r="Q91" s="12">
        <v>2</v>
      </c>
      <c r="R91" s="12">
        <v>12</v>
      </c>
      <c r="T91">
        <f t="shared" si="7"/>
        <v>46</v>
      </c>
    </row>
    <row r="92" spans="1:20" ht="30" x14ac:dyDescent="0.25">
      <c r="A92" s="15">
        <v>6</v>
      </c>
      <c r="B92" s="17" t="s">
        <v>379</v>
      </c>
      <c r="D92" s="12">
        <v>5</v>
      </c>
      <c r="E92" s="12">
        <v>3</v>
      </c>
      <c r="F92" s="12">
        <v>0</v>
      </c>
      <c r="G92" s="12">
        <v>0</v>
      </c>
      <c r="H92" s="12">
        <v>0</v>
      </c>
      <c r="K92" s="12">
        <v>12</v>
      </c>
      <c r="L92" s="12">
        <v>14</v>
      </c>
      <c r="M92" s="12">
        <v>3</v>
      </c>
      <c r="N92" s="12">
        <v>3</v>
      </c>
      <c r="Q92" s="12">
        <v>0</v>
      </c>
      <c r="T92">
        <f t="shared" si="7"/>
        <v>35</v>
      </c>
    </row>
    <row r="93" spans="1:20" x14ac:dyDescent="0.25">
      <c r="A93" s="15">
        <v>7</v>
      </c>
      <c r="B93" s="17" t="s">
        <v>380</v>
      </c>
      <c r="F93" s="12">
        <v>0</v>
      </c>
      <c r="K93" s="12">
        <v>1</v>
      </c>
      <c r="T93">
        <f t="shared" si="7"/>
        <v>1</v>
      </c>
    </row>
    <row r="94" spans="1:20" x14ac:dyDescent="0.25">
      <c r="A94" s="16">
        <v>8</v>
      </c>
      <c r="B94" s="17" t="s">
        <v>381</v>
      </c>
      <c r="E94" s="12">
        <v>7</v>
      </c>
      <c r="G94" s="12">
        <v>6</v>
      </c>
      <c r="H94" s="12">
        <v>17</v>
      </c>
      <c r="J94" s="12">
        <v>14</v>
      </c>
      <c r="K94" s="12">
        <v>1</v>
      </c>
      <c r="Q94" s="12">
        <v>0</v>
      </c>
      <c r="T94">
        <f t="shared" si="7"/>
        <v>45</v>
      </c>
    </row>
    <row r="95" spans="1:20" x14ac:dyDescent="0.25">
      <c r="A95" s="15">
        <v>9</v>
      </c>
      <c r="B95" s="17" t="s">
        <v>382</v>
      </c>
      <c r="G95" s="12">
        <v>0</v>
      </c>
      <c r="H95" s="12">
        <v>0</v>
      </c>
      <c r="K95" s="12">
        <v>0</v>
      </c>
      <c r="T95">
        <f t="shared" si="7"/>
        <v>0</v>
      </c>
    </row>
    <row r="96" spans="1:20" x14ac:dyDescent="0.25">
      <c r="A96" s="15">
        <v>10</v>
      </c>
      <c r="B96" s="17" t="s">
        <v>383</v>
      </c>
      <c r="F96" s="12">
        <v>0</v>
      </c>
      <c r="G96" s="12">
        <v>0</v>
      </c>
      <c r="P96" s="12">
        <v>8</v>
      </c>
      <c r="T96">
        <f t="shared" si="7"/>
        <v>8</v>
      </c>
    </row>
    <row r="97" spans="1:20" x14ac:dyDescent="0.25">
      <c r="A97" s="15">
        <v>11</v>
      </c>
      <c r="B97" s="17" t="s">
        <v>384</v>
      </c>
      <c r="F97" s="12">
        <v>1</v>
      </c>
      <c r="G97" s="12">
        <v>1</v>
      </c>
      <c r="Q97" s="12">
        <v>0</v>
      </c>
      <c r="T97">
        <f t="shared" si="7"/>
        <v>2</v>
      </c>
    </row>
    <row r="98" spans="1:20" x14ac:dyDescent="0.25">
      <c r="A98" s="15">
        <v>12</v>
      </c>
      <c r="B98" s="17" t="s">
        <v>385</v>
      </c>
      <c r="E98" s="12">
        <v>4000</v>
      </c>
      <c r="F98" s="12">
        <v>20</v>
      </c>
      <c r="G98" s="12">
        <v>20</v>
      </c>
      <c r="K98" s="12">
        <v>0</v>
      </c>
      <c r="P98" s="12">
        <v>3</v>
      </c>
      <c r="Q98" s="12">
        <v>0</v>
      </c>
      <c r="T98">
        <f t="shared" si="7"/>
        <v>4043</v>
      </c>
    </row>
    <row r="99" spans="1:20" x14ac:dyDescent="0.25">
      <c r="A99" s="15">
        <v>13</v>
      </c>
      <c r="B99" s="17" t="s">
        <v>386</v>
      </c>
      <c r="E99" s="12">
        <v>7</v>
      </c>
      <c r="G99" s="12">
        <v>0</v>
      </c>
      <c r="H99" s="12">
        <v>0</v>
      </c>
      <c r="L99" s="12">
        <v>55</v>
      </c>
      <c r="N99" s="12">
        <v>0</v>
      </c>
      <c r="T99">
        <f t="shared" si="7"/>
        <v>62</v>
      </c>
    </row>
    <row r="100" spans="1:20" x14ac:dyDescent="0.25">
      <c r="A100" s="16">
        <v>14</v>
      </c>
      <c r="B100" s="17" t="s">
        <v>387</v>
      </c>
      <c r="C100" s="12">
        <v>0</v>
      </c>
      <c r="D100" s="12">
        <v>0</v>
      </c>
      <c r="E100" s="12">
        <v>1</v>
      </c>
      <c r="F100" s="12">
        <v>1</v>
      </c>
      <c r="G100" s="12">
        <v>1</v>
      </c>
      <c r="H100" s="12">
        <v>1</v>
      </c>
      <c r="J100" s="12">
        <v>1</v>
      </c>
      <c r="L100" s="12">
        <v>1</v>
      </c>
      <c r="P100" s="12">
        <v>1</v>
      </c>
      <c r="Q100" s="12">
        <v>1</v>
      </c>
      <c r="T100">
        <f t="shared" si="7"/>
        <v>8</v>
      </c>
    </row>
    <row r="101" spans="1:20" x14ac:dyDescent="0.25">
      <c r="A101" s="15">
        <v>15</v>
      </c>
      <c r="B101" s="17" t="s">
        <v>388</v>
      </c>
      <c r="C101" s="12">
        <v>9</v>
      </c>
      <c r="E101" s="12">
        <v>3</v>
      </c>
      <c r="G101" s="12">
        <v>0</v>
      </c>
      <c r="H101" s="12">
        <v>8</v>
      </c>
      <c r="I101" s="12">
        <v>9</v>
      </c>
      <c r="P101" s="12">
        <v>7</v>
      </c>
      <c r="T101">
        <f t="shared" si="7"/>
        <v>27</v>
      </c>
    </row>
    <row r="102" spans="1:20" x14ac:dyDescent="0.25">
      <c r="N102" s="12">
        <v>2</v>
      </c>
      <c r="T102">
        <f t="shared" si="7"/>
        <v>2</v>
      </c>
    </row>
    <row r="104" spans="1:20" x14ac:dyDescent="0.25">
      <c r="G104" s="12" t="s">
        <v>432</v>
      </c>
    </row>
    <row r="112" spans="1:20" x14ac:dyDescent="0.25">
      <c r="A112" s="16"/>
      <c r="B112" s="17"/>
    </row>
    <row r="121" spans="1:2" x14ac:dyDescent="0.25">
      <c r="A121" s="16"/>
      <c r="B121" s="17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60"/>
  <sheetViews>
    <sheetView topLeftCell="A110" zoomScaleNormal="100" workbookViewId="0">
      <selection activeCell="B10" sqref="B10"/>
    </sheetView>
  </sheetViews>
  <sheetFormatPr defaultRowHeight="15" x14ac:dyDescent="0.25"/>
  <cols>
    <col min="1" max="1" width="27.5703125" style="24" customWidth="1"/>
    <col min="2" max="2" width="14" style="18" customWidth="1"/>
    <col min="3" max="3" width="14.28515625" style="18" bestFit="1" customWidth="1"/>
    <col min="4" max="4" width="12.85546875" style="18" customWidth="1"/>
    <col min="5" max="5" width="11.5703125" style="18" customWidth="1"/>
    <col min="6" max="6" width="11.5703125" style="18" bestFit="1" customWidth="1"/>
    <col min="7" max="7" width="12.140625" style="18" customWidth="1"/>
    <col min="8" max="9" width="13.28515625" style="18" bestFit="1" customWidth="1"/>
    <col min="10" max="10" width="11.5703125" style="18" bestFit="1" customWidth="1"/>
    <col min="11" max="11" width="15.7109375" style="18" customWidth="1"/>
    <col min="12" max="12" width="13.28515625" style="18" bestFit="1" customWidth="1"/>
    <col min="13" max="13" width="16" style="18" customWidth="1"/>
    <col min="14" max="15" width="13.28515625" style="18" bestFit="1" customWidth="1"/>
    <col min="16" max="16" width="11.5703125" style="18" bestFit="1" customWidth="1"/>
    <col min="17" max="17" width="13.28515625" style="18" bestFit="1" customWidth="1"/>
    <col min="18" max="18" width="15.28515625" style="18" customWidth="1"/>
    <col min="19" max="19" width="10.5703125" style="18" bestFit="1" customWidth="1"/>
    <col min="20" max="16384" width="9.140625" style="18"/>
  </cols>
  <sheetData>
    <row r="1" spans="1:18" hidden="1" x14ac:dyDescent="0.25">
      <c r="A1" s="3" t="s">
        <v>184</v>
      </c>
    </row>
    <row r="2" spans="1:18" hidden="1" x14ac:dyDescent="0.25">
      <c r="A2" s="4" t="s">
        <v>185</v>
      </c>
    </row>
    <row r="3" spans="1:18" x14ac:dyDescent="0.25">
      <c r="A3" s="4"/>
    </row>
    <row r="4" spans="1:18" ht="37.5" customHeight="1" x14ac:dyDescent="0.25">
      <c r="A4" s="19" t="s">
        <v>186</v>
      </c>
      <c r="B4" s="20" t="s">
        <v>292</v>
      </c>
      <c r="C4" s="20" t="s">
        <v>293</v>
      </c>
      <c r="D4" s="20" t="s">
        <v>294</v>
      </c>
      <c r="E4" s="20" t="s">
        <v>295</v>
      </c>
      <c r="F4" s="20" t="s">
        <v>296</v>
      </c>
      <c r="G4" s="20" t="s">
        <v>297</v>
      </c>
      <c r="H4" s="20" t="s">
        <v>298</v>
      </c>
      <c r="I4" s="20" t="s">
        <v>299</v>
      </c>
      <c r="J4" s="20" t="s">
        <v>300</v>
      </c>
      <c r="K4" s="20" t="s">
        <v>301</v>
      </c>
      <c r="L4" s="21" t="s">
        <v>302</v>
      </c>
      <c r="M4" s="22" t="s">
        <v>303</v>
      </c>
      <c r="N4" s="6" t="s">
        <v>307</v>
      </c>
      <c r="O4" s="7" t="s">
        <v>304</v>
      </c>
      <c r="P4" s="7" t="s">
        <v>6</v>
      </c>
      <c r="Q4" s="8" t="s">
        <v>305</v>
      </c>
      <c r="R4" s="9" t="s">
        <v>306</v>
      </c>
    </row>
    <row r="5" spans="1:18" s="12" customFormat="1" x14ac:dyDescent="0.25">
      <c r="A5" s="13" t="s">
        <v>187</v>
      </c>
      <c r="B5" s="14">
        <v>48397.5</v>
      </c>
      <c r="C5" s="14">
        <v>54945</v>
      </c>
      <c r="D5" s="14">
        <v>0</v>
      </c>
      <c r="E5" s="14">
        <f>1000+7800+1627</f>
        <v>10427</v>
      </c>
      <c r="F5" s="14">
        <v>0</v>
      </c>
      <c r="G5" s="14">
        <v>43067.93</v>
      </c>
      <c r="H5" s="14">
        <v>13830</v>
      </c>
      <c r="I5" s="14">
        <v>1810</v>
      </c>
      <c r="J5" s="14"/>
      <c r="K5" s="14">
        <f>SUM(B5:J5)</f>
        <v>172477.43</v>
      </c>
      <c r="L5" s="14">
        <v>119978</v>
      </c>
      <c r="M5" s="14">
        <f>K5-L5</f>
        <v>52499.429999999993</v>
      </c>
      <c r="N5" s="14">
        <v>6110</v>
      </c>
      <c r="O5" s="14">
        <v>5000</v>
      </c>
      <c r="P5" s="14"/>
      <c r="Q5" s="14">
        <v>62873.43</v>
      </c>
      <c r="R5" s="14">
        <f t="shared" ref="R5:R10" si="0">+M5+N5+O5-Q5</f>
        <v>735.99999999999272</v>
      </c>
    </row>
    <row r="6" spans="1:18" s="12" customFormat="1" x14ac:dyDescent="0.25">
      <c r="A6" s="13" t="s">
        <v>188</v>
      </c>
      <c r="B6" s="14">
        <v>10200</v>
      </c>
      <c r="C6" s="14">
        <f>13333+2340+1500+1327+4900+9378+3376+25990+1800</f>
        <v>63944</v>
      </c>
      <c r="D6" s="14"/>
      <c r="E6" s="14"/>
      <c r="F6" s="14"/>
      <c r="G6" s="14"/>
      <c r="H6" s="14"/>
      <c r="I6" s="14">
        <v>1551</v>
      </c>
      <c r="J6" s="14"/>
      <c r="K6" s="14">
        <f t="shared" ref="K6:K23" si="1">SUM(B6:J6)</f>
        <v>75695</v>
      </c>
      <c r="L6" s="14">
        <v>121277</v>
      </c>
      <c r="M6" s="14">
        <f t="shared" ref="M6:M23" si="2">K6-L6</f>
        <v>-45582</v>
      </c>
      <c r="N6" s="14">
        <v>0</v>
      </c>
      <c r="O6" s="14">
        <v>46500</v>
      </c>
      <c r="P6" s="14"/>
      <c r="Q6" s="14"/>
      <c r="R6" s="14">
        <f t="shared" si="0"/>
        <v>918</v>
      </c>
    </row>
    <row r="7" spans="1:18" s="12" customFormat="1" x14ac:dyDescent="0.25">
      <c r="A7" s="37" t="s">
        <v>189</v>
      </c>
      <c r="B7" s="14">
        <v>6500</v>
      </c>
      <c r="C7" s="14">
        <v>11855</v>
      </c>
      <c r="D7" s="14"/>
      <c r="E7" s="14"/>
      <c r="F7" s="14"/>
      <c r="G7" s="14"/>
      <c r="H7" s="14"/>
      <c r="I7" s="14">
        <v>600</v>
      </c>
      <c r="J7" s="14"/>
      <c r="K7" s="14">
        <f t="shared" si="1"/>
        <v>18955</v>
      </c>
      <c r="L7" s="14">
        <f>1085+7000+2000</f>
        <v>10085</v>
      </c>
      <c r="M7" s="14">
        <f t="shared" si="2"/>
        <v>8870</v>
      </c>
      <c r="N7" s="14"/>
      <c r="O7" s="14"/>
      <c r="P7" s="14"/>
      <c r="Q7" s="14"/>
      <c r="R7" s="14">
        <f t="shared" si="0"/>
        <v>8870</v>
      </c>
    </row>
    <row r="8" spans="1:18" s="12" customFormat="1" x14ac:dyDescent="0.25">
      <c r="A8" s="13" t="s">
        <v>190</v>
      </c>
      <c r="B8" s="14">
        <v>340</v>
      </c>
      <c r="C8" s="14">
        <f>3291+100+6480+555</f>
        <v>10426</v>
      </c>
      <c r="D8" s="14">
        <v>0</v>
      </c>
      <c r="E8" s="14"/>
      <c r="F8" s="14">
        <v>0</v>
      </c>
      <c r="G8" s="14"/>
      <c r="H8" s="14"/>
      <c r="I8" s="14">
        <v>0</v>
      </c>
      <c r="J8" s="14"/>
      <c r="K8" s="14">
        <f t="shared" si="1"/>
        <v>10766</v>
      </c>
      <c r="L8" s="14">
        <v>36646</v>
      </c>
      <c r="M8" s="14">
        <f t="shared" si="2"/>
        <v>-25880</v>
      </c>
      <c r="N8" s="14">
        <v>40280.25</v>
      </c>
      <c r="O8" s="14"/>
      <c r="P8" s="14"/>
      <c r="Q8" s="14"/>
      <c r="R8" s="14">
        <f t="shared" si="0"/>
        <v>14400.25</v>
      </c>
    </row>
    <row r="9" spans="1:18" s="12" customFormat="1" x14ac:dyDescent="0.25">
      <c r="A9" s="13" t="s">
        <v>191</v>
      </c>
      <c r="B9" s="14">
        <v>101255.3</v>
      </c>
      <c r="C9" s="14">
        <v>559896</v>
      </c>
      <c r="D9" s="14">
        <v>25360</v>
      </c>
      <c r="E9" s="14">
        <v>165709.12</v>
      </c>
      <c r="F9" s="14">
        <v>0</v>
      </c>
      <c r="G9" s="14">
        <v>0</v>
      </c>
      <c r="H9" s="14">
        <v>0</v>
      </c>
      <c r="I9" s="14">
        <v>22970</v>
      </c>
      <c r="J9" s="14"/>
      <c r="K9" s="14">
        <f t="shared" si="1"/>
        <v>875190.42</v>
      </c>
      <c r="L9" s="14">
        <v>874368.95</v>
      </c>
      <c r="M9" s="14">
        <f t="shared" si="2"/>
        <v>821.47000000008848</v>
      </c>
      <c r="N9" s="14">
        <v>32350</v>
      </c>
      <c r="O9" s="14"/>
      <c r="P9" s="14"/>
      <c r="Q9" s="14"/>
      <c r="R9" s="14">
        <f t="shared" si="0"/>
        <v>33171.470000000088</v>
      </c>
    </row>
    <row r="10" spans="1:18" s="12" customFormat="1" x14ac:dyDescent="0.25">
      <c r="A10" s="13" t="s">
        <v>411</v>
      </c>
      <c r="B10" s="14">
        <v>1800</v>
      </c>
      <c r="C10" s="14">
        <v>21890</v>
      </c>
      <c r="D10" s="14">
        <f>4410+4000+4468</f>
        <v>12878</v>
      </c>
      <c r="E10" s="14"/>
      <c r="F10" s="14"/>
      <c r="G10" s="14"/>
      <c r="H10" s="14">
        <v>3200</v>
      </c>
      <c r="I10" s="14">
        <v>1600</v>
      </c>
      <c r="J10" s="14"/>
      <c r="K10" s="14">
        <f t="shared" si="1"/>
        <v>41368</v>
      </c>
      <c r="L10" s="14"/>
      <c r="M10" s="14">
        <f t="shared" si="2"/>
        <v>41368</v>
      </c>
      <c r="N10" s="14"/>
      <c r="O10" s="14">
        <v>4800</v>
      </c>
      <c r="P10" s="14"/>
      <c r="Q10" s="14"/>
      <c r="R10" s="14">
        <f t="shared" si="0"/>
        <v>46168</v>
      </c>
    </row>
    <row r="11" spans="1:18" s="12" customFormat="1" x14ac:dyDescent="0.25">
      <c r="A11" s="13" t="s">
        <v>192</v>
      </c>
      <c r="B11" s="14">
        <f>3171.5+2671.5+5871.5</f>
        <v>11714.5</v>
      </c>
      <c r="C11" s="14">
        <f>11227+4955+5935+1100+2000+5400+1450+300+4100+850+2576+1500+1200+2000+2240+800</f>
        <v>47633</v>
      </c>
      <c r="D11" s="14">
        <v>0</v>
      </c>
      <c r="E11" s="14">
        <v>0</v>
      </c>
      <c r="F11" s="14"/>
      <c r="G11" s="14">
        <v>0</v>
      </c>
      <c r="H11" s="14">
        <v>900</v>
      </c>
      <c r="I11" s="14">
        <v>1300</v>
      </c>
      <c r="J11" s="14"/>
      <c r="K11" s="14">
        <f t="shared" si="1"/>
        <v>61547.5</v>
      </c>
      <c r="L11" s="14">
        <f>18021+15217+26681</f>
        <v>59919</v>
      </c>
      <c r="M11" s="14">
        <f t="shared" si="2"/>
        <v>1628.5</v>
      </c>
      <c r="N11" s="14">
        <v>353</v>
      </c>
      <c r="O11" s="14"/>
      <c r="P11" s="14"/>
      <c r="Q11" s="14">
        <v>9564.5</v>
      </c>
      <c r="R11" s="14">
        <f>+M11+N11+O11-Q11</f>
        <v>-7583</v>
      </c>
    </row>
    <row r="12" spans="1:18" s="44" customFormat="1" x14ac:dyDescent="0.25">
      <c r="A12" s="42" t="s">
        <v>193</v>
      </c>
      <c r="B12" s="43">
        <f>11460+10485+3650</f>
        <v>25595</v>
      </c>
      <c r="C12" s="43">
        <f>2869+4246+3667+2510</f>
        <v>13292</v>
      </c>
      <c r="D12" s="43">
        <v>0</v>
      </c>
      <c r="E12" s="43"/>
      <c r="F12" s="43"/>
      <c r="G12" s="43"/>
      <c r="H12" s="43">
        <f>150+150</f>
        <v>300</v>
      </c>
      <c r="I12" s="43">
        <v>973</v>
      </c>
      <c r="J12" s="43"/>
      <c r="K12" s="43">
        <f t="shared" si="1"/>
        <v>40160</v>
      </c>
      <c r="L12" s="43">
        <f>9500+9500+9500+250+2020+2085+2000+3000</f>
        <v>37855</v>
      </c>
      <c r="M12" s="43">
        <f t="shared" si="2"/>
        <v>2305</v>
      </c>
      <c r="N12" s="43">
        <v>13734</v>
      </c>
      <c r="O12" s="43"/>
      <c r="P12" s="43"/>
      <c r="Q12" s="43"/>
      <c r="R12" s="43">
        <f>+M12+N12+O12-Q12</f>
        <v>16039</v>
      </c>
    </row>
    <row r="13" spans="1:18" x14ac:dyDescent="0.25">
      <c r="A13" s="23" t="s">
        <v>194</v>
      </c>
      <c r="B13" s="24">
        <v>9200</v>
      </c>
      <c r="C13" s="24">
        <f>3833+500+300+270+439+457+576</f>
        <v>6375</v>
      </c>
      <c r="D13" s="24">
        <v>0</v>
      </c>
      <c r="E13" s="24"/>
      <c r="F13" s="24"/>
      <c r="G13" s="24">
        <v>0</v>
      </c>
      <c r="H13" s="24">
        <v>4500</v>
      </c>
      <c r="I13" s="24"/>
      <c r="J13" s="24"/>
      <c r="K13" s="24">
        <f t="shared" si="1"/>
        <v>20075</v>
      </c>
      <c r="L13" s="24">
        <f>9500+250+2020+9500+2085+3500+9500+300+2000+3000</f>
        <v>41655</v>
      </c>
      <c r="M13" s="24">
        <f t="shared" si="2"/>
        <v>-21580</v>
      </c>
      <c r="N13" s="24">
        <v>6251</v>
      </c>
      <c r="O13" s="24"/>
      <c r="P13" s="24"/>
      <c r="Q13" s="24"/>
      <c r="R13" s="24">
        <f>+N13+O13-Q13</f>
        <v>6251</v>
      </c>
    </row>
    <row r="14" spans="1:18" s="12" customFormat="1" x14ac:dyDescent="0.25">
      <c r="A14" s="13" t="s">
        <v>195</v>
      </c>
      <c r="B14" s="14">
        <v>17000</v>
      </c>
      <c r="C14" s="14">
        <v>54320.5</v>
      </c>
      <c r="D14" s="14">
        <v>6000</v>
      </c>
      <c r="E14" s="14"/>
      <c r="F14" s="14"/>
      <c r="G14" s="14"/>
      <c r="H14" s="14">
        <f>1000+600</f>
        <v>1600</v>
      </c>
      <c r="I14" s="14">
        <f>4322+2300</f>
        <v>6622</v>
      </c>
      <c r="J14" s="14"/>
      <c r="K14" s="14">
        <f t="shared" si="1"/>
        <v>85542.5</v>
      </c>
      <c r="L14" s="14"/>
      <c r="M14" s="14">
        <f t="shared" si="2"/>
        <v>85542.5</v>
      </c>
      <c r="N14" s="14"/>
      <c r="O14" s="14"/>
      <c r="P14" s="14"/>
      <c r="Q14" s="14"/>
      <c r="R14" s="14">
        <f>+M14+N14+O14-Q14</f>
        <v>85542.5</v>
      </c>
    </row>
    <row r="15" spans="1:18" s="12" customFormat="1" x14ac:dyDescent="0.25">
      <c r="A15" s="13" t="s">
        <v>196</v>
      </c>
      <c r="B15" s="14">
        <v>29500</v>
      </c>
      <c r="C15" s="14">
        <v>55535</v>
      </c>
      <c r="D15" s="14">
        <v>33700</v>
      </c>
      <c r="E15" s="14">
        <v>0</v>
      </c>
      <c r="F15" s="14"/>
      <c r="G15" s="14"/>
      <c r="H15" s="14">
        <f>86740+71210+100</f>
        <v>158050</v>
      </c>
      <c r="I15" s="14">
        <v>0</v>
      </c>
      <c r="J15" s="14"/>
      <c r="K15" s="14">
        <f t="shared" si="1"/>
        <v>276785</v>
      </c>
      <c r="L15" s="14">
        <v>407929.92</v>
      </c>
      <c r="M15" s="14">
        <f t="shared" si="2"/>
        <v>-131144.91999999998</v>
      </c>
      <c r="N15" s="14">
        <v>130988.56</v>
      </c>
      <c r="O15" s="14">
        <v>50566.17</v>
      </c>
      <c r="P15" s="14"/>
      <c r="Q15" s="14"/>
      <c r="R15" s="14">
        <f>+M15+N15+O15-Q15</f>
        <v>50409.810000000012</v>
      </c>
    </row>
    <row r="16" spans="1:18" s="12" customFormat="1" x14ac:dyDescent="0.25">
      <c r="A16" s="13" t="s">
        <v>197</v>
      </c>
      <c r="B16" s="14">
        <v>72700</v>
      </c>
      <c r="C16" s="14">
        <f>34338+2150+1588+1500+445</f>
        <v>40021</v>
      </c>
      <c r="D16" s="14"/>
      <c r="E16" s="14"/>
      <c r="F16" s="14"/>
      <c r="G16" s="14"/>
      <c r="H16" s="14">
        <v>200</v>
      </c>
      <c r="I16" s="14">
        <v>1240</v>
      </c>
      <c r="J16" s="14"/>
      <c r="K16" s="14">
        <f t="shared" si="1"/>
        <v>114161</v>
      </c>
      <c r="L16" s="14">
        <v>55293</v>
      </c>
      <c r="M16" s="14">
        <f t="shared" si="2"/>
        <v>58868</v>
      </c>
      <c r="N16" s="14">
        <v>58868</v>
      </c>
      <c r="O16" s="14"/>
      <c r="P16" s="14"/>
      <c r="Q16" s="14"/>
      <c r="R16" s="14">
        <f>+M16+N16+O16-Q16</f>
        <v>117736</v>
      </c>
    </row>
    <row r="17" spans="1:18" s="12" customFormat="1" x14ac:dyDescent="0.25">
      <c r="A17" s="13" t="s">
        <v>198</v>
      </c>
      <c r="B17" s="14">
        <v>14955</v>
      </c>
      <c r="C17" s="14">
        <v>19505</v>
      </c>
      <c r="D17" s="14"/>
      <c r="E17" s="14"/>
      <c r="F17" s="14"/>
      <c r="G17" s="14"/>
      <c r="H17" s="14">
        <v>0</v>
      </c>
      <c r="I17" s="14"/>
      <c r="J17" s="14"/>
      <c r="K17" s="14">
        <f t="shared" si="1"/>
        <v>34460</v>
      </c>
      <c r="L17" s="14">
        <v>33280</v>
      </c>
      <c r="M17" s="14">
        <f t="shared" si="2"/>
        <v>1180</v>
      </c>
      <c r="N17" s="14">
        <v>32</v>
      </c>
      <c r="O17" s="14"/>
      <c r="P17" s="14"/>
      <c r="Q17" s="14"/>
      <c r="R17" s="14">
        <f t="shared" ref="R17:R23" si="3">+M17+N17+O17-Q17</f>
        <v>1212</v>
      </c>
    </row>
    <row r="18" spans="1:18" x14ac:dyDescent="0.25">
      <c r="A18" s="23" t="s">
        <v>199</v>
      </c>
      <c r="B18" s="24">
        <v>250</v>
      </c>
      <c r="C18" s="24">
        <f>5577+1667+2330</f>
        <v>9574</v>
      </c>
      <c r="D18" s="24"/>
      <c r="E18" s="24"/>
      <c r="F18" s="24"/>
      <c r="G18" s="24"/>
      <c r="H18" s="24" t="s">
        <v>412</v>
      </c>
      <c r="I18" s="24"/>
      <c r="J18" s="24"/>
      <c r="K18" s="24">
        <f t="shared" si="1"/>
        <v>9824</v>
      </c>
      <c r="L18" s="24">
        <f>3000+850+1240+290+200+600+2500</f>
        <v>8680</v>
      </c>
      <c r="M18" s="24">
        <f t="shared" si="2"/>
        <v>1144</v>
      </c>
      <c r="N18" s="24">
        <v>7669.75</v>
      </c>
      <c r="O18" s="24"/>
      <c r="P18" s="24"/>
      <c r="Q18" s="24"/>
      <c r="R18" s="24">
        <f t="shared" si="3"/>
        <v>8813.75</v>
      </c>
    </row>
    <row r="19" spans="1:18" s="12" customFormat="1" x14ac:dyDescent="0.25">
      <c r="A19" s="13" t="s">
        <v>200</v>
      </c>
      <c r="B19" s="14">
        <v>16455</v>
      </c>
      <c r="C19" s="14">
        <f>22568+879+2800+520+1800+200+500+2500</f>
        <v>31767</v>
      </c>
      <c r="D19" s="14"/>
      <c r="E19" s="14"/>
      <c r="F19" s="14"/>
      <c r="G19" s="14"/>
      <c r="H19" s="14">
        <v>24282</v>
      </c>
      <c r="I19" s="14"/>
      <c r="J19" s="14"/>
      <c r="K19" s="14">
        <f t="shared" si="1"/>
        <v>72504</v>
      </c>
      <c r="L19" s="14">
        <v>188068.38</v>
      </c>
      <c r="M19" s="14">
        <f t="shared" si="2"/>
        <v>-115564.38</v>
      </c>
      <c r="N19" s="14">
        <v>144550</v>
      </c>
      <c r="O19" s="14">
        <v>0</v>
      </c>
      <c r="P19" s="14"/>
      <c r="Q19" s="14"/>
      <c r="R19" s="14">
        <f t="shared" si="3"/>
        <v>28985.619999999995</v>
      </c>
    </row>
    <row r="20" spans="1:18" s="12" customFormat="1" x14ac:dyDescent="0.25">
      <c r="A20" s="13" t="s">
        <v>201</v>
      </c>
      <c r="B20" s="14">
        <v>128002</v>
      </c>
      <c r="C20" s="14">
        <v>38530</v>
      </c>
      <c r="D20" s="14">
        <v>17805</v>
      </c>
      <c r="E20" s="14">
        <v>0</v>
      </c>
      <c r="F20" s="14"/>
      <c r="G20" s="14">
        <v>91666.11</v>
      </c>
      <c r="H20" s="14">
        <v>2000</v>
      </c>
      <c r="I20" s="14">
        <v>13491.01</v>
      </c>
      <c r="J20" s="14"/>
      <c r="K20" s="14">
        <f t="shared" si="1"/>
        <v>291494.12</v>
      </c>
      <c r="L20" s="14">
        <v>151066</v>
      </c>
      <c r="M20" s="14">
        <f t="shared" si="2"/>
        <v>140428.12</v>
      </c>
      <c r="N20" s="14"/>
      <c r="O20" s="14"/>
      <c r="P20" s="14"/>
      <c r="Q20" s="14"/>
      <c r="R20" s="14">
        <f t="shared" si="3"/>
        <v>140428.12</v>
      </c>
    </row>
    <row r="21" spans="1:18" s="12" customFormat="1" x14ac:dyDescent="0.25">
      <c r="A21" s="13" t="s">
        <v>202</v>
      </c>
      <c r="B21" s="14">
        <v>200</v>
      </c>
      <c r="C21" s="14">
        <v>12656</v>
      </c>
      <c r="D21" s="14">
        <v>1350</v>
      </c>
      <c r="E21" s="14"/>
      <c r="F21" s="14"/>
      <c r="G21" s="14"/>
      <c r="H21" s="14">
        <v>150</v>
      </c>
      <c r="I21" s="14">
        <v>1200</v>
      </c>
      <c r="J21" s="14" t="s">
        <v>413</v>
      </c>
      <c r="K21" s="14">
        <f t="shared" si="1"/>
        <v>15556</v>
      </c>
      <c r="L21" s="14">
        <v>10308.89</v>
      </c>
      <c r="M21" s="14">
        <f t="shared" si="2"/>
        <v>5247.1100000000006</v>
      </c>
      <c r="N21" s="14">
        <v>11115.27</v>
      </c>
      <c r="O21" s="14"/>
      <c r="P21" s="14"/>
      <c r="Q21" s="14"/>
      <c r="R21" s="14">
        <f t="shared" si="3"/>
        <v>16362.380000000001</v>
      </c>
    </row>
    <row r="22" spans="1:18" s="12" customFormat="1" x14ac:dyDescent="0.25">
      <c r="A22" s="41" t="s">
        <v>434</v>
      </c>
      <c r="B22" s="14"/>
      <c r="C22" s="14">
        <f>1757+11774+46</f>
        <v>13577</v>
      </c>
      <c r="D22" s="14">
        <v>7428</v>
      </c>
      <c r="E22" s="14"/>
      <c r="F22" s="14"/>
      <c r="G22" s="14"/>
      <c r="H22" s="14"/>
      <c r="I22" s="14"/>
      <c r="J22" s="14"/>
      <c r="K22" s="14">
        <f t="shared" si="1"/>
        <v>21005</v>
      </c>
      <c r="L22" s="14">
        <v>3600</v>
      </c>
      <c r="M22" s="14">
        <f t="shared" si="2"/>
        <v>17405</v>
      </c>
      <c r="N22" s="14"/>
      <c r="O22" s="14"/>
      <c r="P22" s="14"/>
      <c r="Q22" s="14"/>
      <c r="R22" s="14">
        <f t="shared" si="3"/>
        <v>17405</v>
      </c>
    </row>
    <row r="23" spans="1:18" x14ac:dyDescent="0.25">
      <c r="A23" s="26" t="s">
        <v>410</v>
      </c>
      <c r="B23" s="24"/>
      <c r="C23" s="24"/>
      <c r="D23" s="24"/>
      <c r="E23" s="24"/>
      <c r="F23" s="24"/>
      <c r="G23" s="24"/>
      <c r="H23" s="24"/>
      <c r="I23" s="24"/>
      <c r="J23" s="24"/>
      <c r="K23" s="24">
        <f t="shared" si="1"/>
        <v>0</v>
      </c>
      <c r="L23" s="24">
        <v>10024</v>
      </c>
      <c r="M23" s="24">
        <f t="shared" si="2"/>
        <v>-10024</v>
      </c>
      <c r="N23" s="24"/>
      <c r="O23" s="24"/>
      <c r="P23" s="24"/>
      <c r="Q23" s="24"/>
      <c r="R23" s="24">
        <f t="shared" si="3"/>
        <v>-10024</v>
      </c>
    </row>
    <row r="24" spans="1:18" x14ac:dyDescent="0.25">
      <c r="A24" s="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36" x14ac:dyDescent="0.25">
      <c r="A25" s="27" t="s">
        <v>203</v>
      </c>
      <c r="B25" s="20" t="s">
        <v>292</v>
      </c>
      <c r="C25" s="20" t="s">
        <v>293</v>
      </c>
      <c r="D25" s="20" t="s">
        <v>294</v>
      </c>
      <c r="E25" s="20" t="s">
        <v>295</v>
      </c>
      <c r="F25" s="20" t="s">
        <v>296</v>
      </c>
      <c r="G25" s="20" t="s">
        <v>297</v>
      </c>
      <c r="H25" s="20" t="s">
        <v>298</v>
      </c>
      <c r="I25" s="20" t="s">
        <v>299</v>
      </c>
      <c r="J25" s="20" t="s">
        <v>300</v>
      </c>
      <c r="K25" s="20" t="s">
        <v>301</v>
      </c>
      <c r="L25" s="21" t="s">
        <v>302</v>
      </c>
      <c r="M25" s="22" t="s">
        <v>303</v>
      </c>
      <c r="N25" s="6" t="s">
        <v>307</v>
      </c>
      <c r="O25" s="7" t="s">
        <v>304</v>
      </c>
      <c r="P25" s="7" t="s">
        <v>6</v>
      </c>
      <c r="Q25" s="8" t="s">
        <v>305</v>
      </c>
      <c r="R25" s="9" t="s">
        <v>306</v>
      </c>
    </row>
    <row r="26" spans="1:18" s="12" customFormat="1" x14ac:dyDescent="0.25">
      <c r="A26" s="13" t="s">
        <v>204</v>
      </c>
      <c r="B26" s="14">
        <v>2610</v>
      </c>
      <c r="C26" s="14">
        <f>6262+83</f>
        <v>6345</v>
      </c>
      <c r="D26" s="14">
        <v>8582</v>
      </c>
      <c r="E26" s="14"/>
      <c r="F26" s="14"/>
      <c r="G26" s="14"/>
      <c r="H26" s="14"/>
      <c r="I26" s="14"/>
      <c r="J26" s="14"/>
      <c r="K26" s="14">
        <f>SUM(B26:J26)</f>
        <v>17537</v>
      </c>
      <c r="L26" s="14">
        <v>17112</v>
      </c>
      <c r="M26" s="14">
        <f>K26-L26</f>
        <v>425</v>
      </c>
      <c r="N26" s="14"/>
      <c r="O26" s="14"/>
      <c r="P26" s="14"/>
      <c r="Q26" s="14"/>
      <c r="R26" s="14">
        <f>+M26+N26+O26-Q26</f>
        <v>425</v>
      </c>
    </row>
    <row r="27" spans="1:18" s="12" customFormat="1" x14ac:dyDescent="0.25">
      <c r="A27" s="13" t="s">
        <v>205</v>
      </c>
      <c r="B27" s="14"/>
      <c r="C27" s="14">
        <v>1098</v>
      </c>
      <c r="D27" s="14"/>
      <c r="E27" s="14"/>
      <c r="F27" s="14"/>
      <c r="G27" s="14"/>
      <c r="H27" s="14"/>
      <c r="I27" s="14"/>
      <c r="J27" s="14"/>
      <c r="K27" s="14">
        <f t="shared" ref="K27:K38" si="4">SUM(B27:J27)</f>
        <v>1098</v>
      </c>
      <c r="L27" s="14">
        <v>1300</v>
      </c>
      <c r="M27" s="14">
        <f t="shared" ref="M27:M37" si="5">K27-L27</f>
        <v>-202</v>
      </c>
      <c r="N27" s="14">
        <v>1367</v>
      </c>
      <c r="O27" s="14"/>
      <c r="P27" s="14"/>
      <c r="Q27" s="14"/>
      <c r="R27" s="14">
        <f t="shared" ref="R27:R38" si="6">+M27+N27+O27-Q27</f>
        <v>1165</v>
      </c>
    </row>
    <row r="28" spans="1:18" s="12" customFormat="1" x14ac:dyDescent="0.25">
      <c r="A28" s="13" t="s">
        <v>206</v>
      </c>
      <c r="B28" s="14">
        <v>2055</v>
      </c>
      <c r="C28" s="14">
        <f>1558+1223+1355+500+150+200+150+141+191+100+2550</f>
        <v>8118</v>
      </c>
      <c r="D28" s="14">
        <v>0</v>
      </c>
      <c r="E28" s="14">
        <v>0</v>
      </c>
      <c r="F28" s="14"/>
      <c r="G28" s="14"/>
      <c r="H28" s="14"/>
      <c r="I28" s="14">
        <v>1200</v>
      </c>
      <c r="J28" s="14"/>
      <c r="K28" s="14">
        <f t="shared" si="4"/>
        <v>11373</v>
      </c>
      <c r="L28" s="14">
        <f>6000+570+35+73.31+4900+1200</f>
        <v>12778.310000000001</v>
      </c>
      <c r="M28" s="14">
        <f t="shared" si="5"/>
        <v>-1405.3100000000013</v>
      </c>
      <c r="N28" s="14">
        <v>0</v>
      </c>
      <c r="O28" s="14"/>
      <c r="P28" s="14"/>
      <c r="Q28" s="14"/>
      <c r="R28" s="14">
        <f t="shared" si="6"/>
        <v>-1405.3100000000013</v>
      </c>
    </row>
    <row r="29" spans="1:18" x14ac:dyDescent="0.25">
      <c r="A29" s="23" t="s">
        <v>207</v>
      </c>
      <c r="B29" s="24"/>
      <c r="C29" s="24"/>
      <c r="D29" s="24"/>
      <c r="E29" s="24"/>
      <c r="F29" s="24"/>
      <c r="G29" s="24"/>
      <c r="H29" s="24"/>
      <c r="I29" s="24"/>
      <c r="J29" s="24"/>
      <c r="K29" s="24">
        <f t="shared" si="4"/>
        <v>0</v>
      </c>
      <c r="L29" s="24"/>
      <c r="M29" s="24">
        <f t="shared" si="5"/>
        <v>0</v>
      </c>
      <c r="N29" s="24"/>
      <c r="O29" s="24"/>
      <c r="P29" s="24"/>
      <c r="Q29" s="24"/>
      <c r="R29" s="24">
        <f t="shared" si="6"/>
        <v>0</v>
      </c>
    </row>
    <row r="30" spans="1:18" s="12" customFormat="1" x14ac:dyDescent="0.25">
      <c r="A30" s="13" t="s">
        <v>208</v>
      </c>
      <c r="B30" s="14"/>
      <c r="C30" s="14">
        <v>7456</v>
      </c>
      <c r="D30" s="14"/>
      <c r="E30" s="14"/>
      <c r="F30" s="14"/>
      <c r="G30" s="14"/>
      <c r="H30" s="14"/>
      <c r="I30" s="14"/>
      <c r="J30" s="14"/>
      <c r="K30" s="14">
        <f t="shared" si="4"/>
        <v>7456</v>
      </c>
      <c r="L30" s="14">
        <v>10148</v>
      </c>
      <c r="M30" s="14">
        <f t="shared" si="5"/>
        <v>-2692</v>
      </c>
      <c r="N30" s="14"/>
      <c r="O30" s="14"/>
      <c r="P30" s="14"/>
      <c r="Q30" s="14"/>
      <c r="R30" s="14">
        <f t="shared" si="6"/>
        <v>-2692</v>
      </c>
    </row>
    <row r="31" spans="1:18" x14ac:dyDescent="0.25">
      <c r="A31" s="23" t="s">
        <v>209</v>
      </c>
      <c r="B31" s="24">
        <v>0</v>
      </c>
      <c r="C31" s="24">
        <f>3762+281+349+262</f>
        <v>4654</v>
      </c>
      <c r="D31" s="24">
        <v>745</v>
      </c>
      <c r="E31" s="24"/>
      <c r="F31" s="24"/>
      <c r="G31" s="24"/>
      <c r="H31" s="24" t="s">
        <v>413</v>
      </c>
      <c r="I31" s="24"/>
      <c r="J31" s="24"/>
      <c r="K31" s="24">
        <f t="shared" si="4"/>
        <v>5399</v>
      </c>
      <c r="L31" s="24">
        <f>3900+800+1300+100+57</f>
        <v>6157</v>
      </c>
      <c r="M31" s="24">
        <f t="shared" si="5"/>
        <v>-758</v>
      </c>
      <c r="N31" s="24"/>
      <c r="O31" s="24"/>
      <c r="P31" s="24"/>
      <c r="Q31" s="24"/>
      <c r="R31" s="24">
        <f t="shared" si="6"/>
        <v>-758</v>
      </c>
    </row>
    <row r="32" spans="1:18" x14ac:dyDescent="0.25">
      <c r="A32" s="23" t="s">
        <v>210</v>
      </c>
      <c r="B32" s="24"/>
      <c r="C32" s="24"/>
      <c r="D32" s="24"/>
      <c r="E32" s="24"/>
      <c r="F32" s="24"/>
      <c r="G32" s="24"/>
      <c r="H32" s="24"/>
      <c r="I32" s="24"/>
      <c r="J32" s="24"/>
      <c r="K32" s="24">
        <f t="shared" si="4"/>
        <v>0</v>
      </c>
      <c r="L32" s="24"/>
      <c r="M32" s="24">
        <f t="shared" si="5"/>
        <v>0</v>
      </c>
      <c r="N32" s="24"/>
      <c r="O32" s="24"/>
      <c r="P32" s="24"/>
      <c r="Q32" s="24"/>
      <c r="R32" s="24">
        <f t="shared" si="6"/>
        <v>0</v>
      </c>
    </row>
    <row r="33" spans="1:19" x14ac:dyDescent="0.25">
      <c r="A33" s="23" t="s">
        <v>211</v>
      </c>
      <c r="B33" s="24"/>
      <c r="C33" s="24"/>
      <c r="D33" s="24"/>
      <c r="E33" s="24"/>
      <c r="F33" s="24"/>
      <c r="G33" s="24"/>
      <c r="H33" s="24"/>
      <c r="I33" s="24"/>
      <c r="J33" s="24"/>
      <c r="K33" s="24">
        <f t="shared" si="4"/>
        <v>0</v>
      </c>
      <c r="L33" s="24"/>
      <c r="M33" s="24">
        <f t="shared" si="5"/>
        <v>0</v>
      </c>
      <c r="N33" s="24"/>
      <c r="O33" s="24"/>
      <c r="P33" s="24"/>
      <c r="Q33" s="24"/>
      <c r="R33" s="24">
        <f t="shared" si="6"/>
        <v>0</v>
      </c>
    </row>
    <row r="34" spans="1:19" x14ac:dyDescent="0.25">
      <c r="A34" s="25" t="s">
        <v>212</v>
      </c>
      <c r="B34" s="24">
        <v>600</v>
      </c>
      <c r="C34" s="24">
        <f>4622+138+180+400</f>
        <v>5340</v>
      </c>
      <c r="D34" s="24"/>
      <c r="E34" s="24"/>
      <c r="F34" s="24"/>
      <c r="G34" s="24"/>
      <c r="H34" s="24"/>
      <c r="I34" s="24">
        <f>390+385</f>
        <v>775</v>
      </c>
      <c r="J34" s="24"/>
      <c r="K34" s="24">
        <f t="shared" si="4"/>
        <v>6715</v>
      </c>
      <c r="L34" s="24">
        <v>5904</v>
      </c>
      <c r="M34" s="24">
        <f t="shared" si="5"/>
        <v>811</v>
      </c>
      <c r="N34" s="24">
        <v>5951</v>
      </c>
      <c r="O34" s="24"/>
      <c r="P34" s="24"/>
      <c r="Q34" s="24"/>
      <c r="R34" s="24">
        <f t="shared" si="6"/>
        <v>6762</v>
      </c>
    </row>
    <row r="35" spans="1:19" x14ac:dyDescent="0.25">
      <c r="A35" s="25" t="s">
        <v>213</v>
      </c>
      <c r="B35" s="24">
        <v>40750</v>
      </c>
      <c r="C35" s="24">
        <f>35563+4240+3000</f>
        <v>42803</v>
      </c>
      <c r="D35" s="24">
        <f>19924+8540</f>
        <v>28464</v>
      </c>
      <c r="E35" s="24"/>
      <c r="F35" s="24"/>
      <c r="G35" s="24"/>
      <c r="H35" s="24"/>
      <c r="I35" s="24">
        <v>3873</v>
      </c>
      <c r="J35" s="24"/>
      <c r="K35" s="24">
        <f t="shared" si="4"/>
        <v>115890</v>
      </c>
      <c r="L35" s="24">
        <v>78390</v>
      </c>
      <c r="M35" s="24">
        <f t="shared" si="5"/>
        <v>37500</v>
      </c>
      <c r="N35" s="24"/>
      <c r="O35" s="24"/>
      <c r="P35" s="24"/>
      <c r="Q35" s="24">
        <v>0</v>
      </c>
      <c r="R35" s="24">
        <f t="shared" si="6"/>
        <v>37500</v>
      </c>
    </row>
    <row r="36" spans="1:19" s="12" customFormat="1" x14ac:dyDescent="0.25">
      <c r="A36" s="13" t="s">
        <v>214</v>
      </c>
      <c r="B36" s="14">
        <v>41642</v>
      </c>
      <c r="C36" s="14">
        <v>40669</v>
      </c>
      <c r="D36" s="14">
        <v>1500</v>
      </c>
      <c r="E36" s="14"/>
      <c r="F36" s="14"/>
      <c r="G36" s="14">
        <v>27815</v>
      </c>
      <c r="H36" s="14">
        <f>940+73511</f>
        <v>74451</v>
      </c>
      <c r="I36" s="14">
        <f>10000+1000</f>
        <v>11000</v>
      </c>
      <c r="J36" s="14"/>
      <c r="K36" s="14">
        <f t="shared" si="4"/>
        <v>197077</v>
      </c>
      <c r="L36" s="14">
        <v>126478</v>
      </c>
      <c r="M36" s="14">
        <f t="shared" si="5"/>
        <v>70599</v>
      </c>
      <c r="N36" s="14"/>
      <c r="O36" s="14"/>
      <c r="P36" s="14"/>
      <c r="Q36" s="14"/>
      <c r="R36" s="14">
        <f t="shared" si="6"/>
        <v>70599</v>
      </c>
    </row>
    <row r="37" spans="1:19" x14ac:dyDescent="0.25">
      <c r="A37" s="23" t="s">
        <v>414</v>
      </c>
      <c r="B37" s="24"/>
      <c r="C37" s="24"/>
      <c r="D37" s="24"/>
      <c r="E37" s="24"/>
      <c r="F37" s="24"/>
      <c r="G37" s="24"/>
      <c r="H37" s="24"/>
      <c r="I37" s="24"/>
      <c r="J37" s="24"/>
      <c r="K37" s="24">
        <f t="shared" si="4"/>
        <v>0</v>
      </c>
      <c r="L37" s="24"/>
      <c r="M37" s="24">
        <f t="shared" si="5"/>
        <v>0</v>
      </c>
      <c r="N37" s="24"/>
      <c r="O37" s="24"/>
      <c r="P37" s="24"/>
      <c r="Q37" s="24"/>
      <c r="R37" s="24">
        <f t="shared" si="6"/>
        <v>0</v>
      </c>
    </row>
    <row r="38" spans="1:19" x14ac:dyDescent="0.2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>
        <f t="shared" si="4"/>
        <v>0</v>
      </c>
      <c r="L38" s="24"/>
      <c r="M38" s="24"/>
      <c r="N38" s="24"/>
      <c r="O38" s="24"/>
      <c r="P38" s="24"/>
      <c r="Q38" s="24"/>
      <c r="R38" s="24">
        <f t="shared" si="6"/>
        <v>0</v>
      </c>
    </row>
    <row r="39" spans="1:19" x14ac:dyDescent="0.25">
      <c r="A39" s="28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9" x14ac:dyDescent="0.25">
      <c r="A40" s="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9" ht="36" x14ac:dyDescent="0.25">
      <c r="A41" s="29" t="s">
        <v>215</v>
      </c>
      <c r="B41" s="20" t="s">
        <v>292</v>
      </c>
      <c r="C41" s="20" t="s">
        <v>293</v>
      </c>
      <c r="D41" s="20" t="s">
        <v>294</v>
      </c>
      <c r="E41" s="20" t="s">
        <v>295</v>
      </c>
      <c r="F41" s="20" t="s">
        <v>296</v>
      </c>
      <c r="G41" s="20" t="s">
        <v>297</v>
      </c>
      <c r="H41" s="20" t="s">
        <v>298</v>
      </c>
      <c r="I41" s="20" t="s">
        <v>299</v>
      </c>
      <c r="J41" s="20" t="s">
        <v>300</v>
      </c>
      <c r="K41" s="20" t="s">
        <v>301</v>
      </c>
      <c r="L41" s="21" t="s">
        <v>302</v>
      </c>
      <c r="M41" s="22" t="s">
        <v>303</v>
      </c>
      <c r="N41" s="6" t="s">
        <v>307</v>
      </c>
      <c r="O41" s="7" t="s">
        <v>304</v>
      </c>
      <c r="P41" s="7" t="s">
        <v>6</v>
      </c>
      <c r="Q41" s="8" t="s">
        <v>305</v>
      </c>
      <c r="R41" s="9" t="s">
        <v>306</v>
      </c>
    </row>
    <row r="42" spans="1:19" s="12" customFormat="1" x14ac:dyDescent="0.25">
      <c r="A42" s="13" t="s">
        <v>216</v>
      </c>
      <c r="B42" s="14">
        <v>7700</v>
      </c>
      <c r="C42" s="14">
        <f>7040+4164+1116+797+3000+250+1550+696.25+908+1000+3308+1125+7527+230+1252</f>
        <v>33963.25</v>
      </c>
      <c r="D42" s="14"/>
      <c r="E42" s="14">
        <v>0</v>
      </c>
      <c r="F42" s="14"/>
      <c r="G42" s="14"/>
      <c r="H42" s="14">
        <v>1200</v>
      </c>
      <c r="I42" s="14">
        <f>1616+2503+7530</f>
        <v>11649</v>
      </c>
      <c r="J42" s="14"/>
      <c r="K42" s="14">
        <f>SUM(B42:J42)</f>
        <v>54512.25</v>
      </c>
      <c r="L42" s="14">
        <f>48000+1200.03+4000+4000+2000+251.25+1366+3500+7525</f>
        <v>71842.28</v>
      </c>
      <c r="M42" s="14">
        <f>K42-L42</f>
        <v>-17330.03</v>
      </c>
      <c r="N42" s="14"/>
      <c r="O42" s="14">
        <v>20000</v>
      </c>
      <c r="P42" s="14"/>
      <c r="Q42" s="14"/>
      <c r="R42" s="14">
        <f t="shared" ref="R42:R47" si="7">+M42+N42+O42-Q42</f>
        <v>2669.9700000000012</v>
      </c>
      <c r="S42" s="35"/>
    </row>
    <row r="43" spans="1:19" s="12" customFormat="1" x14ac:dyDescent="0.25">
      <c r="A43" s="13" t="s">
        <v>217</v>
      </c>
      <c r="B43" s="14">
        <v>400</v>
      </c>
      <c r="C43" s="14">
        <f>2336+1000+600+175+400+2054+512+271+414</f>
        <v>7762</v>
      </c>
      <c r="D43" s="14">
        <v>0</v>
      </c>
      <c r="E43" s="14">
        <v>0</v>
      </c>
      <c r="F43" s="14"/>
      <c r="G43" s="14"/>
      <c r="H43" s="14"/>
      <c r="I43" s="14">
        <v>222</v>
      </c>
      <c r="J43" s="14"/>
      <c r="K43" s="14">
        <f t="shared" ref="K43:K52" si="8">SUM(B43:J43)</f>
        <v>8384</v>
      </c>
      <c r="L43" s="14">
        <f>1500+1900+500</f>
        <v>3900</v>
      </c>
      <c r="M43" s="14">
        <f t="shared" ref="M43:M52" si="9">K43-L43</f>
        <v>4484</v>
      </c>
      <c r="N43" s="14"/>
      <c r="O43" s="14"/>
      <c r="P43" s="14"/>
      <c r="Q43" s="14"/>
      <c r="R43" s="14">
        <f t="shared" si="7"/>
        <v>4484</v>
      </c>
    </row>
    <row r="44" spans="1:19" s="12" customFormat="1" x14ac:dyDescent="0.25">
      <c r="A44" s="13" t="s">
        <v>218</v>
      </c>
      <c r="B44" s="14">
        <v>27500</v>
      </c>
      <c r="C44" s="14">
        <v>17128</v>
      </c>
      <c r="D44" s="14">
        <v>27500</v>
      </c>
      <c r="E44" s="14">
        <v>0</v>
      </c>
      <c r="F44" s="14"/>
      <c r="G44" s="14">
        <v>700</v>
      </c>
      <c r="H44" s="14"/>
      <c r="I44" s="14">
        <f>2720+3440</f>
        <v>6160</v>
      </c>
      <c r="J44" s="14"/>
      <c r="K44" s="14">
        <f t="shared" si="8"/>
        <v>78988</v>
      </c>
      <c r="L44" s="14">
        <f>28500+2500+6000+4100+3500</f>
        <v>44600</v>
      </c>
      <c r="M44" s="14">
        <f t="shared" si="9"/>
        <v>34388</v>
      </c>
      <c r="N44" s="14">
        <v>17100</v>
      </c>
      <c r="O44" s="14"/>
      <c r="P44" s="14"/>
      <c r="Q44" s="14"/>
      <c r="R44" s="14">
        <f t="shared" si="7"/>
        <v>51488</v>
      </c>
    </row>
    <row r="45" spans="1:19" s="12" customFormat="1" x14ac:dyDescent="0.25">
      <c r="A45" s="13" t="s">
        <v>219</v>
      </c>
      <c r="B45" s="14">
        <f>1000+37990</f>
        <v>38990</v>
      </c>
      <c r="C45" s="14">
        <v>11535.5</v>
      </c>
      <c r="D45" s="14">
        <f>42765+56968.64</f>
        <v>99733.64</v>
      </c>
      <c r="E45" s="14">
        <v>0</v>
      </c>
      <c r="F45" s="14"/>
      <c r="G45" s="14">
        <v>0</v>
      </c>
      <c r="H45" s="14">
        <f>650+200</f>
        <v>850</v>
      </c>
      <c r="I45" s="14">
        <f>4310+710+4300+5540+150</f>
        <v>15010</v>
      </c>
      <c r="J45" s="14">
        <v>0</v>
      </c>
      <c r="K45" s="14">
        <f t="shared" si="8"/>
        <v>166119.14000000001</v>
      </c>
      <c r="L45" s="14">
        <f>135400.12+5100+8350</f>
        <v>148850.12</v>
      </c>
      <c r="M45" s="14">
        <f t="shared" si="9"/>
        <v>17269.020000000019</v>
      </c>
      <c r="N45" s="14"/>
      <c r="O45" s="14">
        <v>92647.34</v>
      </c>
      <c r="P45" s="14"/>
      <c r="Q45" s="14">
        <v>109916.36</v>
      </c>
      <c r="R45" s="14">
        <f t="shared" si="7"/>
        <v>0</v>
      </c>
    </row>
    <row r="46" spans="1:19" s="12" customFormat="1" x14ac:dyDescent="0.25">
      <c r="A46" s="13" t="s">
        <v>220</v>
      </c>
      <c r="B46" s="14">
        <v>4670</v>
      </c>
      <c r="C46" s="14">
        <f>7316.5+350+30+504+2000</f>
        <v>10200.5</v>
      </c>
      <c r="D46" s="14">
        <v>0</v>
      </c>
      <c r="E46" s="14">
        <v>0</v>
      </c>
      <c r="F46" s="14"/>
      <c r="G46" s="14"/>
      <c r="H46" s="14"/>
      <c r="I46" s="14">
        <f>2450+12600+10985+1276+7000</f>
        <v>34311</v>
      </c>
      <c r="J46" s="14"/>
      <c r="K46" s="14">
        <f t="shared" si="8"/>
        <v>49181.5</v>
      </c>
      <c r="L46" s="14">
        <f>15600+1060+3100+288+1700+1200+240+2000+1226+6791</f>
        <v>33205</v>
      </c>
      <c r="M46" s="14">
        <f t="shared" si="9"/>
        <v>15976.5</v>
      </c>
      <c r="N46" s="14">
        <v>0</v>
      </c>
      <c r="O46" s="14"/>
      <c r="P46" s="14"/>
      <c r="Q46" s="14"/>
      <c r="R46" s="14">
        <f t="shared" si="7"/>
        <v>15976.5</v>
      </c>
    </row>
    <row r="47" spans="1:19" s="12" customFormat="1" ht="13.5" customHeight="1" x14ac:dyDescent="0.25">
      <c r="A47" s="13" t="s">
        <v>221</v>
      </c>
      <c r="B47" s="14">
        <v>48610</v>
      </c>
      <c r="C47" s="14">
        <f>28499.25+40050+5701.25</f>
        <v>74250.5</v>
      </c>
      <c r="D47" s="14">
        <v>0</v>
      </c>
      <c r="E47" s="14"/>
      <c r="F47" s="14">
        <v>4000</v>
      </c>
      <c r="G47" s="14"/>
      <c r="H47" s="14">
        <f>95100+3600+940+2700+9050</f>
        <v>111390</v>
      </c>
      <c r="I47" s="14"/>
      <c r="J47" s="14"/>
      <c r="K47" s="14">
        <f t="shared" si="8"/>
        <v>238250.5</v>
      </c>
      <c r="L47" s="14">
        <f>78561+3000+7890+1592.79+1571.22+11784.15+9900+1530+1015+6415+15950+3400+12915.9+3600+5000+27000+1300+17390+9000+64509.9+2340</f>
        <v>285664.95999999996</v>
      </c>
      <c r="M47" s="14">
        <f t="shared" si="9"/>
        <v>-47414.459999999963</v>
      </c>
      <c r="N47" s="14"/>
      <c r="O47" s="14"/>
      <c r="P47" s="14"/>
      <c r="Q47" s="14"/>
      <c r="R47" s="14">
        <f t="shared" si="7"/>
        <v>-47414.459999999963</v>
      </c>
    </row>
    <row r="48" spans="1:19" s="12" customFormat="1" x14ac:dyDescent="0.25">
      <c r="A48" s="13" t="s">
        <v>222</v>
      </c>
      <c r="B48" s="14">
        <f>7120+14500</f>
        <v>21620</v>
      </c>
      <c r="C48" s="14">
        <f>13722+428</f>
        <v>14150</v>
      </c>
      <c r="D48" s="14">
        <f>7220+3320+3250+2300+922+1100+200</f>
        <v>18312</v>
      </c>
      <c r="E48" s="14"/>
      <c r="F48" s="14"/>
      <c r="G48" s="14"/>
      <c r="H48" s="14"/>
      <c r="I48" s="14"/>
      <c r="J48" s="14"/>
      <c r="K48" s="14">
        <f t="shared" si="8"/>
        <v>54082</v>
      </c>
      <c r="L48" s="14">
        <v>64630</v>
      </c>
      <c r="M48" s="14">
        <f t="shared" si="9"/>
        <v>-10548</v>
      </c>
      <c r="N48" s="14"/>
      <c r="O48" s="14"/>
      <c r="P48" s="14"/>
      <c r="Q48" s="14"/>
      <c r="R48" s="14">
        <f>+M48+N48+O48-Q48</f>
        <v>-10548</v>
      </c>
    </row>
    <row r="49" spans="1:18" x14ac:dyDescent="0.25">
      <c r="A49" s="23" t="s">
        <v>223</v>
      </c>
      <c r="B49" s="24"/>
      <c r="C49" s="24"/>
      <c r="D49" s="24"/>
      <c r="E49" s="24"/>
      <c r="F49" s="24"/>
      <c r="G49" s="24"/>
      <c r="H49" s="24"/>
      <c r="I49" s="24"/>
      <c r="J49" s="24"/>
      <c r="K49" s="24">
        <f t="shared" si="8"/>
        <v>0</v>
      </c>
      <c r="L49" s="24"/>
      <c r="M49" s="24">
        <f t="shared" si="9"/>
        <v>0</v>
      </c>
      <c r="N49" s="24"/>
      <c r="O49" s="24"/>
      <c r="P49" s="24"/>
      <c r="Q49" s="24"/>
      <c r="R49" s="24">
        <f t="shared" ref="R49:R52" si="10">+M49+N49+O49-Q49</f>
        <v>0</v>
      </c>
    </row>
    <row r="50" spans="1:18" x14ac:dyDescent="0.25">
      <c r="A50" s="23" t="s">
        <v>224</v>
      </c>
      <c r="B50" s="24"/>
      <c r="C50" s="24"/>
      <c r="D50" s="24">
        <v>0</v>
      </c>
      <c r="E50" s="24">
        <v>0</v>
      </c>
      <c r="F50" s="24"/>
      <c r="G50" s="24"/>
      <c r="H50" s="24"/>
      <c r="I50" s="24"/>
      <c r="J50" s="24"/>
      <c r="K50" s="24">
        <f t="shared" si="8"/>
        <v>0</v>
      </c>
      <c r="L50" s="24"/>
      <c r="M50" s="24">
        <f t="shared" si="9"/>
        <v>0</v>
      </c>
      <c r="N50" s="24"/>
      <c r="O50" s="24"/>
      <c r="P50" s="24"/>
      <c r="Q50" s="24"/>
      <c r="R50" s="24">
        <f t="shared" si="10"/>
        <v>0</v>
      </c>
    </row>
    <row r="51" spans="1:18" s="12" customFormat="1" x14ac:dyDescent="0.25">
      <c r="A51" s="13" t="s">
        <v>225</v>
      </c>
      <c r="B51" s="14">
        <v>28700</v>
      </c>
      <c r="C51" s="14">
        <f>23391+4000+10000+1420+2925+3000</f>
        <v>44736</v>
      </c>
      <c r="D51" s="14">
        <v>6400</v>
      </c>
      <c r="E51" s="14"/>
      <c r="F51" s="14"/>
      <c r="G51" s="14"/>
      <c r="H51" s="14"/>
      <c r="I51" s="14">
        <v>835</v>
      </c>
      <c r="J51" s="14"/>
      <c r="K51" s="14">
        <f t="shared" si="8"/>
        <v>80671</v>
      </c>
      <c r="L51" s="14">
        <v>116110.85</v>
      </c>
      <c r="M51" s="14">
        <f t="shared" si="9"/>
        <v>-35439.850000000006</v>
      </c>
      <c r="N51" s="14"/>
      <c r="O51" s="14">
        <v>103000</v>
      </c>
      <c r="P51" s="14"/>
      <c r="Q51" s="14">
        <v>61369.97</v>
      </c>
      <c r="R51" s="14">
        <f t="shared" si="10"/>
        <v>6190.179999999993</v>
      </c>
    </row>
    <row r="52" spans="1:18" s="12" customFormat="1" x14ac:dyDescent="0.25">
      <c r="A52" s="13" t="s">
        <v>226</v>
      </c>
      <c r="B52" s="14">
        <v>5200</v>
      </c>
      <c r="C52" s="14">
        <v>34791.25</v>
      </c>
      <c r="D52" s="14"/>
      <c r="E52" s="14"/>
      <c r="F52" s="14"/>
      <c r="G52" s="14"/>
      <c r="H52" s="14"/>
      <c r="I52" s="14"/>
      <c r="J52" s="14"/>
      <c r="K52" s="14">
        <f t="shared" si="8"/>
        <v>39991.25</v>
      </c>
      <c r="L52" s="14">
        <v>27770</v>
      </c>
      <c r="M52" s="14">
        <f t="shared" si="9"/>
        <v>12221.25</v>
      </c>
      <c r="N52" s="14"/>
      <c r="O52" s="14"/>
      <c r="P52" s="14"/>
      <c r="Q52" s="14"/>
      <c r="R52" s="14">
        <f t="shared" si="10"/>
        <v>12221.25</v>
      </c>
    </row>
    <row r="53" spans="1:18" x14ac:dyDescent="0.25">
      <c r="A53" s="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x14ac:dyDescent="0.25">
      <c r="A54" s="28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x14ac:dyDescent="0.25">
      <c r="A55" s="5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36" x14ac:dyDescent="0.25">
      <c r="A56" s="29" t="s">
        <v>227</v>
      </c>
      <c r="B56" s="20" t="s">
        <v>292</v>
      </c>
      <c r="C56" s="20" t="s">
        <v>293</v>
      </c>
      <c r="D56" s="20" t="s">
        <v>294</v>
      </c>
      <c r="E56" s="20" t="s">
        <v>295</v>
      </c>
      <c r="F56" s="20" t="s">
        <v>296</v>
      </c>
      <c r="G56" s="20" t="s">
        <v>297</v>
      </c>
      <c r="H56" s="20" t="s">
        <v>298</v>
      </c>
      <c r="I56" s="20" t="s">
        <v>299</v>
      </c>
      <c r="J56" s="20" t="s">
        <v>300</v>
      </c>
      <c r="K56" s="20" t="s">
        <v>301</v>
      </c>
      <c r="L56" s="21" t="s">
        <v>302</v>
      </c>
      <c r="M56" s="22" t="s">
        <v>303</v>
      </c>
      <c r="N56" s="6" t="s">
        <v>307</v>
      </c>
      <c r="O56" s="7" t="s">
        <v>304</v>
      </c>
      <c r="P56" s="7" t="s">
        <v>6</v>
      </c>
      <c r="Q56" s="8" t="s">
        <v>305</v>
      </c>
      <c r="R56" s="9" t="s">
        <v>306</v>
      </c>
    </row>
    <row r="57" spans="1:18" s="12" customFormat="1" x14ac:dyDescent="0.25">
      <c r="A57" s="13" t="s">
        <v>228</v>
      </c>
      <c r="B57" s="14">
        <v>1950</v>
      </c>
      <c r="C57" s="14">
        <f>19037.5+1100+900+1000+1100+2000+1000+1888+1000+1980+1200</f>
        <v>32205.5</v>
      </c>
      <c r="D57" s="14">
        <v>5100</v>
      </c>
      <c r="E57" s="14">
        <v>0</v>
      </c>
      <c r="F57" s="14">
        <v>0</v>
      </c>
      <c r="G57" s="14"/>
      <c r="H57" s="14">
        <f>3000+4500+600+49755+200</f>
        <v>58055</v>
      </c>
      <c r="I57" s="14">
        <f>1100+5920</f>
        <v>7020</v>
      </c>
      <c r="J57" s="14"/>
      <c r="K57" s="14">
        <f>SUM(B57:J57)</f>
        <v>104330.5</v>
      </c>
      <c r="L57" s="14">
        <f>14156.72+5140+6920</f>
        <v>26216.720000000001</v>
      </c>
      <c r="M57" s="14">
        <f>K57-L57</f>
        <v>78113.78</v>
      </c>
      <c r="N57" s="14">
        <v>0</v>
      </c>
      <c r="O57" s="14">
        <v>52650</v>
      </c>
      <c r="P57" s="14"/>
      <c r="Q57" s="14">
        <v>121241</v>
      </c>
      <c r="R57" s="14">
        <f>+M57+N57+O57-Q57</f>
        <v>9522.7799999999988</v>
      </c>
    </row>
    <row r="58" spans="1:18" s="12" customFormat="1" x14ac:dyDescent="0.25">
      <c r="A58" s="13" t="s">
        <v>229</v>
      </c>
      <c r="B58" s="14">
        <v>94810</v>
      </c>
      <c r="C58" s="14">
        <f>15809.25+2360</f>
        <v>18169.25</v>
      </c>
      <c r="D58" s="14">
        <f>2360+5600+30273.75+4000+7466+665+14842+1737</f>
        <v>66943.75</v>
      </c>
      <c r="E58" s="14"/>
      <c r="F58" s="14">
        <f>181215+64270</f>
        <v>245485</v>
      </c>
      <c r="G58" s="14"/>
      <c r="H58" s="14"/>
      <c r="I58" s="14">
        <v>13749</v>
      </c>
      <c r="J58" s="14"/>
      <c r="K58" s="14">
        <f t="shared" ref="K58:K70" si="11">SUM(B58:J58)</f>
        <v>439157</v>
      </c>
      <c r="L58" s="14">
        <v>521507.99</v>
      </c>
      <c r="M58" s="14">
        <f t="shared" ref="M58:M71" si="12">K58-L58</f>
        <v>-82350.989999999991</v>
      </c>
      <c r="N58" s="14">
        <v>97788.19</v>
      </c>
      <c r="O58" s="14"/>
      <c r="P58" s="14"/>
      <c r="Q58" s="14"/>
      <c r="R58" s="14">
        <f t="shared" ref="R58:R71" si="13">+M58+N58+O58-Q58</f>
        <v>15437.200000000012</v>
      </c>
    </row>
    <row r="59" spans="1:18" s="12" customFormat="1" x14ac:dyDescent="0.25">
      <c r="A59" s="38" t="s">
        <v>230</v>
      </c>
      <c r="B59" s="14">
        <v>0</v>
      </c>
      <c r="C59" s="14">
        <f>9923+1270+200+1465+112+646</f>
        <v>13616</v>
      </c>
      <c r="D59" s="14">
        <v>0</v>
      </c>
      <c r="E59" s="14">
        <v>0</v>
      </c>
      <c r="F59" s="14"/>
      <c r="G59" s="14"/>
      <c r="H59" s="14"/>
      <c r="I59" s="14">
        <v>200</v>
      </c>
      <c r="J59" s="14"/>
      <c r="K59" s="14">
        <f t="shared" si="11"/>
        <v>13816</v>
      </c>
      <c r="L59" s="14">
        <f>18000+760+150+323.76+6000+350+150</f>
        <v>25733.759999999998</v>
      </c>
      <c r="M59" s="14">
        <f t="shared" si="12"/>
        <v>-11917.759999999998</v>
      </c>
      <c r="N59" s="14">
        <v>25148</v>
      </c>
      <c r="O59" s="14"/>
      <c r="P59" s="14"/>
      <c r="Q59" s="14"/>
      <c r="R59" s="14">
        <f t="shared" si="13"/>
        <v>13230.240000000002</v>
      </c>
    </row>
    <row r="60" spans="1:18" x14ac:dyDescent="0.25">
      <c r="A60" s="23" t="s">
        <v>231</v>
      </c>
      <c r="B60" s="24"/>
      <c r="C60" s="24">
        <v>0</v>
      </c>
      <c r="D60" s="24"/>
      <c r="E60" s="24"/>
      <c r="F60" s="24"/>
      <c r="G60" s="24"/>
      <c r="H60" s="24"/>
      <c r="I60" s="24"/>
      <c r="J60" s="24"/>
      <c r="K60" s="24">
        <f t="shared" si="11"/>
        <v>0</v>
      </c>
      <c r="L60" s="24">
        <v>0</v>
      </c>
      <c r="M60" s="24">
        <f t="shared" si="12"/>
        <v>0</v>
      </c>
      <c r="N60" s="24"/>
      <c r="O60" s="24"/>
      <c r="P60" s="24"/>
      <c r="Q60" s="24">
        <v>0</v>
      </c>
      <c r="R60" s="24">
        <f t="shared" si="13"/>
        <v>0</v>
      </c>
    </row>
    <row r="61" spans="1:18" s="12" customFormat="1" ht="15.75" customHeight="1" x14ac:dyDescent="0.25">
      <c r="A61" s="13" t="s">
        <v>232</v>
      </c>
      <c r="B61" s="14">
        <v>11700</v>
      </c>
      <c r="C61" s="14">
        <f>22699.75+55600+2500+500+21569+2260+1025+6657</f>
        <v>112810.75</v>
      </c>
      <c r="D61" s="14">
        <v>0</v>
      </c>
      <c r="E61" s="14">
        <v>0</v>
      </c>
      <c r="F61" s="14"/>
      <c r="G61" s="14"/>
      <c r="H61" s="14">
        <f>10000+35000+2250+15000+100+1000+600+1000+2800</f>
        <v>67750</v>
      </c>
      <c r="I61" s="14">
        <f>3465+600+600+5755</f>
        <v>10420</v>
      </c>
      <c r="J61" s="14"/>
      <c r="K61" s="14">
        <f t="shared" si="11"/>
        <v>202680.75</v>
      </c>
      <c r="L61" s="14">
        <f>100362+1520+370+1860+69697+1138+17900+1650+15000+3465+3200+40000</f>
        <v>256162</v>
      </c>
      <c r="M61" s="14">
        <f t="shared" si="12"/>
        <v>-53481.25</v>
      </c>
      <c r="N61" s="14">
        <v>1701.78</v>
      </c>
      <c r="O61" s="14">
        <v>50000</v>
      </c>
      <c r="P61" s="14"/>
      <c r="Q61" s="14">
        <v>0</v>
      </c>
      <c r="R61" s="14">
        <f t="shared" si="13"/>
        <v>-1779.4700000000012</v>
      </c>
    </row>
    <row r="62" spans="1:18" s="12" customFormat="1" x14ac:dyDescent="0.25">
      <c r="A62" s="13" t="s">
        <v>233</v>
      </c>
      <c r="B62" s="14">
        <v>25670</v>
      </c>
      <c r="C62" s="14">
        <v>27212.5</v>
      </c>
      <c r="D62" s="14">
        <f>5000+1000+8100+14700+26061+2370+1374+3460+4930+4960+4200</f>
        <v>76155</v>
      </c>
      <c r="E62" s="14">
        <v>0</v>
      </c>
      <c r="F62" s="14"/>
      <c r="G62" s="14">
        <v>1432.34</v>
      </c>
      <c r="H62" s="14"/>
      <c r="I62" s="14">
        <f>2071+5200</f>
        <v>7271</v>
      </c>
      <c r="J62" s="14"/>
      <c r="K62" s="14">
        <f t="shared" si="11"/>
        <v>137740.84</v>
      </c>
      <c r="L62" s="14">
        <f>880+802+5440+15300+2100+276082.32</f>
        <v>300604.32</v>
      </c>
      <c r="M62" s="14">
        <f t="shared" si="12"/>
        <v>-162863.48000000001</v>
      </c>
      <c r="N62" s="14">
        <v>373730.75</v>
      </c>
      <c r="O62" s="14"/>
      <c r="P62" s="14"/>
      <c r="Q62" s="14">
        <v>276082.32</v>
      </c>
      <c r="R62" s="14">
        <f t="shared" si="13"/>
        <v>-65215.050000000017</v>
      </c>
    </row>
    <row r="63" spans="1:18" s="12" customFormat="1" x14ac:dyDescent="0.25">
      <c r="A63" s="13" t="s">
        <v>234</v>
      </c>
      <c r="B63" s="14">
        <v>0</v>
      </c>
      <c r="C63" s="14">
        <f>3738+1000+320</f>
        <v>5058</v>
      </c>
      <c r="D63" s="14">
        <v>0</v>
      </c>
      <c r="E63" s="14"/>
      <c r="F63" s="14">
        <v>150000</v>
      </c>
      <c r="G63" s="14">
        <v>0</v>
      </c>
      <c r="H63" s="14">
        <v>2300</v>
      </c>
      <c r="I63" s="14">
        <v>0</v>
      </c>
      <c r="J63" s="14"/>
      <c r="K63" s="14">
        <f t="shared" si="11"/>
        <v>157358</v>
      </c>
      <c r="L63" s="14">
        <f>1400+1500+839+5230+3000+2300+43000</f>
        <v>57269</v>
      </c>
      <c r="M63" s="14">
        <f t="shared" si="12"/>
        <v>100089</v>
      </c>
      <c r="N63" s="14">
        <v>1122</v>
      </c>
      <c r="O63" s="14"/>
      <c r="P63" s="14"/>
      <c r="Q63" s="14">
        <v>100000</v>
      </c>
      <c r="R63" s="14">
        <f t="shared" si="13"/>
        <v>1211</v>
      </c>
    </row>
    <row r="64" spans="1:18" x14ac:dyDescent="0.25">
      <c r="A64" s="23" t="s">
        <v>239</v>
      </c>
      <c r="B64" s="24">
        <v>7935</v>
      </c>
      <c r="C64" s="24">
        <v>10642</v>
      </c>
      <c r="D64" s="24"/>
      <c r="E64" s="24"/>
      <c r="F64" s="24"/>
      <c r="G64" s="24"/>
      <c r="H64" s="24"/>
      <c r="I64" s="24"/>
      <c r="J64" s="24"/>
      <c r="K64" s="24">
        <f t="shared" si="11"/>
        <v>18577</v>
      </c>
      <c r="L64" s="24"/>
      <c r="M64" s="24">
        <f t="shared" si="12"/>
        <v>18577</v>
      </c>
      <c r="N64" s="24"/>
      <c r="O64" s="24"/>
      <c r="P64" s="24"/>
      <c r="Q64" s="24"/>
      <c r="R64" s="24">
        <f t="shared" si="13"/>
        <v>18577</v>
      </c>
    </row>
    <row r="65" spans="1:18" s="12" customFormat="1" x14ac:dyDescent="0.25">
      <c r="A65" s="13" t="s">
        <v>236</v>
      </c>
      <c r="B65" s="14">
        <v>4800</v>
      </c>
      <c r="C65" s="14">
        <f>4499+600</f>
        <v>5099</v>
      </c>
      <c r="D65" s="14">
        <v>280</v>
      </c>
      <c r="E65" s="14">
        <v>0</v>
      </c>
      <c r="F65" s="14"/>
      <c r="G65" s="14"/>
      <c r="H65" s="14">
        <v>0</v>
      </c>
      <c r="I65" s="14">
        <v>0</v>
      </c>
      <c r="J65" s="14"/>
      <c r="K65" s="14">
        <f t="shared" si="11"/>
        <v>10179</v>
      </c>
      <c r="L65" s="14">
        <f>252+4500+600+300+3000+550+1000</f>
        <v>10202</v>
      </c>
      <c r="M65" s="14">
        <f t="shared" si="12"/>
        <v>-23</v>
      </c>
      <c r="N65" s="14">
        <v>1075.75</v>
      </c>
      <c r="O65" s="14"/>
      <c r="P65" s="14"/>
      <c r="Q65" s="14"/>
      <c r="R65" s="14">
        <f t="shared" si="13"/>
        <v>1052.75</v>
      </c>
    </row>
    <row r="66" spans="1:18" x14ac:dyDescent="0.25">
      <c r="A66" s="23" t="s">
        <v>421</v>
      </c>
      <c r="B66" s="24">
        <v>1930</v>
      </c>
      <c r="C66" s="24">
        <f>9648+100+1500+341+1050+243+1091+677+130</f>
        <v>14780</v>
      </c>
      <c r="D66" s="24"/>
      <c r="E66" s="24"/>
      <c r="F66" s="24">
        <v>10200</v>
      </c>
      <c r="G66" s="24"/>
      <c r="H66" s="24">
        <v>2100</v>
      </c>
      <c r="I66" s="24">
        <v>611</v>
      </c>
      <c r="J66" s="24"/>
      <c r="K66" s="24">
        <f t="shared" si="11"/>
        <v>29621</v>
      </c>
      <c r="L66" s="24">
        <f>716+60+185+426+150+2000</f>
        <v>3537</v>
      </c>
      <c r="M66" s="24">
        <f t="shared" si="12"/>
        <v>26084</v>
      </c>
      <c r="N66" s="24"/>
      <c r="O66" s="24"/>
      <c r="P66" s="24"/>
      <c r="Q66" s="24">
        <v>85000</v>
      </c>
      <c r="R66" s="24">
        <f t="shared" si="13"/>
        <v>-58916</v>
      </c>
    </row>
    <row r="67" spans="1:18" s="12" customFormat="1" x14ac:dyDescent="0.25">
      <c r="A67" s="13" t="s">
        <v>237</v>
      </c>
      <c r="B67" s="14">
        <v>59000</v>
      </c>
      <c r="C67" s="14">
        <v>440292.75</v>
      </c>
      <c r="D67" s="14">
        <v>38222</v>
      </c>
      <c r="E67" s="14"/>
      <c r="F67" s="14">
        <v>117462.39999999999</v>
      </c>
      <c r="G67" s="14"/>
      <c r="H67" s="14">
        <v>1004430.11</v>
      </c>
      <c r="I67" s="14">
        <v>22080</v>
      </c>
      <c r="J67" s="14"/>
      <c r="K67" s="14">
        <f t="shared" si="11"/>
        <v>1681487.26</v>
      </c>
      <c r="L67" s="14">
        <v>1463676.7</v>
      </c>
      <c r="M67" s="14">
        <f t="shared" si="12"/>
        <v>217810.56000000006</v>
      </c>
      <c r="N67" s="14">
        <v>211753.14</v>
      </c>
      <c r="O67" s="14">
        <v>330000</v>
      </c>
      <c r="P67" s="14"/>
      <c r="Q67" s="14">
        <v>732452.05</v>
      </c>
      <c r="R67" s="14">
        <f t="shared" si="13"/>
        <v>27111.650000000023</v>
      </c>
    </row>
    <row r="68" spans="1:18" s="12" customFormat="1" x14ac:dyDescent="0.25">
      <c r="A68" s="13" t="s">
        <v>238</v>
      </c>
      <c r="B68" s="14">
        <v>3500</v>
      </c>
      <c r="C68" s="14">
        <f>19345.75+4455+19327+1000+150+2179+2020+20000+100+13500</f>
        <v>82076.75</v>
      </c>
      <c r="D68" s="14">
        <v>0</v>
      </c>
      <c r="E68" s="14">
        <v>0</v>
      </c>
      <c r="F68" s="14"/>
      <c r="G68" s="14"/>
      <c r="H68" s="14"/>
      <c r="I68" s="14">
        <v>0</v>
      </c>
      <c r="J68" s="14"/>
      <c r="K68" s="14">
        <f t="shared" si="11"/>
        <v>85576.75</v>
      </c>
      <c r="L68" s="14">
        <v>33680</v>
      </c>
      <c r="M68" s="14">
        <f t="shared" si="12"/>
        <v>51896.75</v>
      </c>
      <c r="N68" s="14"/>
      <c r="O68" s="14"/>
      <c r="P68" s="14"/>
      <c r="Q68" s="14"/>
      <c r="R68" s="14">
        <f t="shared" si="13"/>
        <v>51896.75</v>
      </c>
    </row>
    <row r="69" spans="1:18" s="12" customFormat="1" x14ac:dyDescent="0.25">
      <c r="A69" s="13" t="s">
        <v>235</v>
      </c>
      <c r="B69" s="14">
        <v>500</v>
      </c>
      <c r="C69" s="14">
        <v>3273</v>
      </c>
      <c r="D69" s="14">
        <v>4694</v>
      </c>
      <c r="E69" s="14">
        <v>1470</v>
      </c>
      <c r="F69" s="14"/>
      <c r="G69" s="14"/>
      <c r="H69" s="14"/>
      <c r="I69" s="14"/>
      <c r="J69" s="14"/>
      <c r="K69" s="14">
        <f t="shared" si="11"/>
        <v>9937</v>
      </c>
      <c r="L69" s="14">
        <v>1474</v>
      </c>
      <c r="M69" s="14">
        <f t="shared" si="12"/>
        <v>8463</v>
      </c>
      <c r="N69" s="14"/>
      <c r="O69" s="14"/>
      <c r="P69" s="14"/>
      <c r="Q69" s="14"/>
      <c r="R69" s="14">
        <f t="shared" si="13"/>
        <v>8463</v>
      </c>
    </row>
    <row r="70" spans="1:18" x14ac:dyDescent="0.25">
      <c r="A70" s="23" t="s">
        <v>240</v>
      </c>
      <c r="B70" s="24"/>
      <c r="C70" s="24"/>
      <c r="D70" s="24"/>
      <c r="E70" s="24"/>
      <c r="F70" s="24"/>
      <c r="G70" s="24"/>
      <c r="H70" s="24"/>
      <c r="I70" s="24"/>
      <c r="J70" s="24"/>
      <c r="K70" s="24">
        <f t="shared" si="11"/>
        <v>0</v>
      </c>
      <c r="L70" s="24"/>
      <c r="M70" s="24">
        <f t="shared" si="12"/>
        <v>0</v>
      </c>
      <c r="N70" s="24"/>
      <c r="O70" s="24"/>
      <c r="P70" s="24"/>
      <c r="Q70" s="24"/>
      <c r="R70" s="24">
        <f t="shared" si="13"/>
        <v>0</v>
      </c>
    </row>
    <row r="71" spans="1:18" x14ac:dyDescent="0.25">
      <c r="A71" s="30" t="s">
        <v>241</v>
      </c>
      <c r="B71" s="24">
        <v>5500</v>
      </c>
      <c r="C71" s="24">
        <f>14205+10000+1100+1500+2212</f>
        <v>29017</v>
      </c>
      <c r="D71" s="24">
        <v>0</v>
      </c>
      <c r="E71" s="24">
        <v>0</v>
      </c>
      <c r="F71" s="24">
        <v>58700</v>
      </c>
      <c r="G71" s="24"/>
      <c r="H71" s="24">
        <v>17000</v>
      </c>
      <c r="I71" s="24">
        <v>0</v>
      </c>
      <c r="J71" s="24"/>
      <c r="K71" s="24">
        <f>SUM(B71:J71)</f>
        <v>110217</v>
      </c>
      <c r="L71" s="24">
        <f>3500+4356+250+660+430+3200+2500+126318+2630</f>
        <v>143844</v>
      </c>
      <c r="M71" s="24">
        <f t="shared" si="12"/>
        <v>-33627</v>
      </c>
      <c r="N71" s="24">
        <v>64235</v>
      </c>
      <c r="O71" s="24">
        <v>50000</v>
      </c>
      <c r="P71" s="24"/>
      <c r="Q71" s="24">
        <v>0</v>
      </c>
      <c r="R71" s="24">
        <f t="shared" si="13"/>
        <v>80608</v>
      </c>
    </row>
    <row r="72" spans="1:18" x14ac:dyDescent="0.25">
      <c r="A72" s="31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x14ac:dyDescent="0.25">
      <c r="A73" s="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36" x14ac:dyDescent="0.25">
      <c r="A74" s="29" t="s">
        <v>242</v>
      </c>
      <c r="B74" s="20" t="s">
        <v>292</v>
      </c>
      <c r="C74" s="20" t="s">
        <v>293</v>
      </c>
      <c r="D74" s="20" t="s">
        <v>294</v>
      </c>
      <c r="E74" s="20" t="s">
        <v>295</v>
      </c>
      <c r="F74" s="20" t="s">
        <v>296</v>
      </c>
      <c r="G74" s="20" t="s">
        <v>297</v>
      </c>
      <c r="H74" s="20" t="s">
        <v>298</v>
      </c>
      <c r="I74" s="20" t="s">
        <v>299</v>
      </c>
      <c r="J74" s="20" t="s">
        <v>300</v>
      </c>
      <c r="K74" s="20" t="s">
        <v>301</v>
      </c>
      <c r="L74" s="21" t="s">
        <v>302</v>
      </c>
      <c r="M74" s="22" t="s">
        <v>303</v>
      </c>
      <c r="N74" s="6" t="s">
        <v>307</v>
      </c>
      <c r="O74" s="7" t="s">
        <v>304</v>
      </c>
      <c r="P74" s="7" t="s">
        <v>6</v>
      </c>
      <c r="Q74" s="8" t="s">
        <v>305</v>
      </c>
      <c r="R74" s="9" t="s">
        <v>306</v>
      </c>
    </row>
    <row r="75" spans="1:18" x14ac:dyDescent="0.25">
      <c r="A75" s="23" t="s">
        <v>243</v>
      </c>
      <c r="B75" s="24">
        <v>8700</v>
      </c>
      <c r="C75" s="24">
        <v>80873</v>
      </c>
      <c r="D75" s="24"/>
      <c r="E75" s="24"/>
      <c r="F75" s="24"/>
      <c r="G75" s="24"/>
      <c r="H75" s="24">
        <v>216940</v>
      </c>
      <c r="I75" s="24"/>
      <c r="J75" s="24"/>
      <c r="K75" s="24">
        <f>SUM(B75:J75)</f>
        <v>306513</v>
      </c>
      <c r="L75" s="24">
        <v>190732.94</v>
      </c>
      <c r="M75" s="24">
        <f>K75-L75</f>
        <v>115780.06</v>
      </c>
      <c r="N75" s="24">
        <v>36611.94</v>
      </c>
      <c r="O75" s="24">
        <v>306513</v>
      </c>
      <c r="P75" s="24"/>
      <c r="Q75" s="24"/>
      <c r="R75" s="24">
        <f>+M75+N75+O75-Q75</f>
        <v>458905</v>
      </c>
    </row>
    <row r="76" spans="1:18" s="12" customFormat="1" x14ac:dyDescent="0.25">
      <c r="A76" s="13" t="s">
        <v>244</v>
      </c>
      <c r="B76" s="14">
        <v>3800</v>
      </c>
      <c r="C76" s="14">
        <f>9493+2400+12269+982+756</f>
        <v>25900</v>
      </c>
      <c r="D76" s="14">
        <v>0</v>
      </c>
      <c r="E76" s="14">
        <v>0</v>
      </c>
      <c r="F76" s="14"/>
      <c r="G76" s="14"/>
      <c r="H76" s="14"/>
      <c r="I76" s="14">
        <v>1200</v>
      </c>
      <c r="J76" s="14"/>
      <c r="K76" s="14">
        <f t="shared" ref="K76:K97" si="14">SUM(B76:J76)</f>
        <v>30900</v>
      </c>
      <c r="L76" s="14">
        <f>420+370+480+540+206+81+88+1000+1050+600+600</f>
        <v>5435</v>
      </c>
      <c r="M76" s="14">
        <f t="shared" ref="M76:M97" si="15">K76-L76</f>
        <v>25465</v>
      </c>
      <c r="N76" s="14">
        <v>1489.72</v>
      </c>
      <c r="O76" s="14"/>
      <c r="P76" s="14"/>
      <c r="Q76" s="14">
        <v>25500</v>
      </c>
      <c r="R76" s="14">
        <f t="shared" ref="R76:R97" si="16">+M76+N76+O76-Q76</f>
        <v>1454.7200000000012</v>
      </c>
    </row>
    <row r="77" spans="1:18" s="12" customFormat="1" x14ac:dyDescent="0.25">
      <c r="A77" s="13" t="s">
        <v>245</v>
      </c>
      <c r="B77" s="14">
        <v>10695</v>
      </c>
      <c r="C77" s="14">
        <v>64981</v>
      </c>
      <c r="D77" s="14">
        <v>4979</v>
      </c>
      <c r="E77" s="14"/>
      <c r="F77" s="14"/>
      <c r="G77" s="14"/>
      <c r="H77" s="14">
        <f>40+23000</f>
        <v>23040</v>
      </c>
      <c r="I77" s="14"/>
      <c r="J77" s="14"/>
      <c r="K77" s="14">
        <f t="shared" si="14"/>
        <v>103695</v>
      </c>
      <c r="L77" s="14">
        <f>64117+2400+335+400+200+1413+14000+9735+10000+1200</f>
        <v>103800</v>
      </c>
      <c r="M77" s="14">
        <f t="shared" si="15"/>
        <v>-105</v>
      </c>
      <c r="N77" s="14"/>
      <c r="O77" s="14"/>
      <c r="P77" s="14"/>
      <c r="Q77" s="14"/>
      <c r="R77" s="14">
        <f t="shared" si="16"/>
        <v>-105</v>
      </c>
    </row>
    <row r="78" spans="1:18" ht="14.25" customHeight="1" x14ac:dyDescent="0.25">
      <c r="A78" s="23" t="s">
        <v>246</v>
      </c>
      <c r="B78" s="24"/>
      <c r="C78" s="24"/>
      <c r="D78" s="24"/>
      <c r="E78" s="24"/>
      <c r="F78" s="24"/>
      <c r="G78" s="24"/>
      <c r="H78" s="24"/>
      <c r="I78" s="24"/>
      <c r="J78" s="24"/>
      <c r="K78" s="24">
        <f t="shared" si="14"/>
        <v>0</v>
      </c>
      <c r="L78" s="24"/>
      <c r="M78" s="24">
        <f t="shared" si="15"/>
        <v>0</v>
      </c>
      <c r="N78" s="24"/>
      <c r="O78" s="24"/>
      <c r="P78" s="24"/>
      <c r="Q78" s="24"/>
      <c r="R78" s="24">
        <f t="shared" si="16"/>
        <v>0</v>
      </c>
    </row>
    <row r="79" spans="1:18" s="12" customFormat="1" x14ac:dyDescent="0.25">
      <c r="A79" s="13" t="s">
        <v>247</v>
      </c>
      <c r="B79" s="14">
        <v>36420</v>
      </c>
      <c r="C79" s="14">
        <f>19280+500+500+396+312+1805</f>
        <v>22793</v>
      </c>
      <c r="D79" s="14">
        <f>6777+7588</f>
        <v>14365</v>
      </c>
      <c r="E79" s="14">
        <v>0</v>
      </c>
      <c r="F79" s="14">
        <v>12600</v>
      </c>
      <c r="G79" s="14"/>
      <c r="H79" s="14">
        <f>365+65600</f>
        <v>65965</v>
      </c>
      <c r="I79" s="14">
        <v>1790</v>
      </c>
      <c r="J79" s="14"/>
      <c r="K79" s="14">
        <f>SUM(B79:J79)</f>
        <v>153933</v>
      </c>
      <c r="L79" s="14">
        <v>696542</v>
      </c>
      <c r="M79" s="14">
        <f t="shared" si="15"/>
        <v>-542609</v>
      </c>
      <c r="N79" s="14">
        <v>134263.82999999999</v>
      </c>
      <c r="O79" s="14">
        <f>I17-I23</f>
        <v>0</v>
      </c>
      <c r="P79" s="14"/>
      <c r="Q79" s="14">
        <v>0</v>
      </c>
      <c r="R79" s="14">
        <f t="shared" si="16"/>
        <v>-408345.17000000004</v>
      </c>
    </row>
    <row r="80" spans="1:18" s="12" customFormat="1" x14ac:dyDescent="0.25">
      <c r="A80" s="13" t="s">
        <v>248</v>
      </c>
      <c r="B80" s="14"/>
      <c r="C80" s="14">
        <f>12657+1684+410+958+276+750</f>
        <v>16735</v>
      </c>
      <c r="D80" s="14">
        <v>1000</v>
      </c>
      <c r="E80" s="14"/>
      <c r="F80" s="14"/>
      <c r="G80" s="14"/>
      <c r="H80" s="14"/>
      <c r="I80" s="14"/>
      <c r="J80" s="14"/>
      <c r="K80" s="14">
        <f t="shared" si="14"/>
        <v>17735</v>
      </c>
      <c r="L80" s="14">
        <v>19103</v>
      </c>
      <c r="M80" s="14">
        <f t="shared" si="15"/>
        <v>-1368</v>
      </c>
      <c r="N80" s="14"/>
      <c r="O80" s="14"/>
      <c r="P80" s="14"/>
      <c r="Q80" s="14"/>
      <c r="R80" s="14">
        <f t="shared" si="16"/>
        <v>-1368</v>
      </c>
    </row>
    <row r="81" spans="1:18" s="12" customFormat="1" x14ac:dyDescent="0.25">
      <c r="A81" s="13" t="s">
        <v>249</v>
      </c>
      <c r="B81" s="14">
        <f>24990+1342</f>
        <v>26332</v>
      </c>
      <c r="C81" s="14">
        <f>11238+1040+100+1500+300+436+1300</f>
        <v>15914</v>
      </c>
      <c r="D81" s="14"/>
      <c r="E81" s="14">
        <v>0</v>
      </c>
      <c r="F81" s="14"/>
      <c r="G81" s="14"/>
      <c r="H81" s="14"/>
      <c r="I81" s="14"/>
      <c r="J81" s="14"/>
      <c r="K81" s="14">
        <f t="shared" si="14"/>
        <v>42246</v>
      </c>
      <c r="L81" s="14">
        <f>40500+200+2000+325+7700+6000</f>
        <v>56725</v>
      </c>
      <c r="M81" s="14">
        <f t="shared" si="15"/>
        <v>-14479</v>
      </c>
      <c r="N81" s="14"/>
      <c r="O81" s="14"/>
      <c r="P81" s="14"/>
      <c r="Q81" s="14"/>
      <c r="R81" s="14">
        <f t="shared" si="16"/>
        <v>-14479</v>
      </c>
    </row>
    <row r="82" spans="1:18" x14ac:dyDescent="0.25">
      <c r="A82" s="23" t="s">
        <v>415</v>
      </c>
      <c r="B82" s="24">
        <v>0</v>
      </c>
      <c r="C82" s="24"/>
      <c r="D82" s="24">
        <v>0</v>
      </c>
      <c r="E82" s="24">
        <v>0</v>
      </c>
      <c r="F82" s="24"/>
      <c r="G82" s="24"/>
      <c r="H82" s="24"/>
      <c r="I82" s="24">
        <v>0</v>
      </c>
      <c r="J82" s="24"/>
      <c r="K82" s="24">
        <f t="shared" ref="K82" si="17">SUM(B82:J82)</f>
        <v>0</v>
      </c>
      <c r="L82" s="24">
        <v>0</v>
      </c>
      <c r="M82" s="24">
        <f t="shared" si="15"/>
        <v>0</v>
      </c>
      <c r="N82" s="24"/>
      <c r="O82" s="24"/>
      <c r="P82" s="24"/>
      <c r="Q82" s="24"/>
      <c r="R82" s="24">
        <f t="shared" si="16"/>
        <v>0</v>
      </c>
    </row>
    <row r="83" spans="1:18" x14ac:dyDescent="0.25">
      <c r="A83" s="23" t="s">
        <v>416</v>
      </c>
      <c r="B83" s="24"/>
      <c r="C83" s="24"/>
      <c r="D83" s="24"/>
      <c r="E83" s="24"/>
      <c r="F83" s="24"/>
      <c r="G83" s="24"/>
      <c r="H83" s="24"/>
      <c r="I83" s="24"/>
      <c r="J83" s="24"/>
      <c r="K83" s="24">
        <f t="shared" ref="K83" si="18">SUM(B83:J83)</f>
        <v>0</v>
      </c>
      <c r="L83" s="24"/>
      <c r="M83" s="24">
        <f t="shared" si="15"/>
        <v>0</v>
      </c>
      <c r="N83" s="24"/>
      <c r="O83" s="24"/>
      <c r="P83" s="24"/>
      <c r="Q83" s="24"/>
      <c r="R83" s="24">
        <f t="shared" si="16"/>
        <v>0</v>
      </c>
    </row>
    <row r="84" spans="1:18" s="12" customFormat="1" x14ac:dyDescent="0.25">
      <c r="A84" s="37" t="s">
        <v>250</v>
      </c>
      <c r="B84" s="14"/>
      <c r="C84" s="14">
        <f>8057+200+1983+310+2213</f>
        <v>12763</v>
      </c>
      <c r="D84" s="14"/>
      <c r="E84" s="14"/>
      <c r="F84" s="14"/>
      <c r="G84" s="14"/>
      <c r="H84" s="14"/>
      <c r="I84" s="14"/>
      <c r="J84" s="14"/>
      <c r="K84" s="14">
        <f t="shared" si="14"/>
        <v>12763</v>
      </c>
      <c r="L84" s="14">
        <v>16991</v>
      </c>
      <c r="M84" s="14">
        <f t="shared" si="15"/>
        <v>-4228</v>
      </c>
      <c r="N84" s="14">
        <v>13779</v>
      </c>
      <c r="O84" s="14"/>
      <c r="P84" s="14"/>
      <c r="Q84" s="14"/>
      <c r="R84" s="14">
        <f t="shared" si="16"/>
        <v>9551</v>
      </c>
    </row>
    <row r="85" spans="1:18" s="12" customFormat="1" x14ac:dyDescent="0.25">
      <c r="A85" s="13" t="s">
        <v>251</v>
      </c>
      <c r="B85" s="14"/>
      <c r="C85" s="14">
        <f>4292+3000+350+1000</f>
        <v>8642</v>
      </c>
      <c r="D85" s="14"/>
      <c r="E85" s="14"/>
      <c r="F85" s="14"/>
      <c r="G85" s="14"/>
      <c r="H85" s="14"/>
      <c r="I85" s="14"/>
      <c r="J85" s="14"/>
      <c r="K85" s="14">
        <f t="shared" si="14"/>
        <v>8642</v>
      </c>
      <c r="L85" s="14">
        <f>3000+175000+2500</f>
        <v>180500</v>
      </c>
      <c r="M85" s="14">
        <f t="shared" si="15"/>
        <v>-171858</v>
      </c>
      <c r="N85" s="14">
        <v>8417</v>
      </c>
      <c r="O85" s="14">
        <v>175000</v>
      </c>
      <c r="P85" s="14"/>
      <c r="Q85" s="14"/>
      <c r="R85" s="14">
        <f t="shared" si="16"/>
        <v>11559</v>
      </c>
    </row>
    <row r="86" spans="1:18" x14ac:dyDescent="0.25">
      <c r="A86" s="23" t="s">
        <v>252</v>
      </c>
      <c r="B86" s="24"/>
      <c r="C86" s="24"/>
      <c r="D86" s="24"/>
      <c r="E86" s="24"/>
      <c r="F86" s="24"/>
      <c r="G86" s="24"/>
      <c r="H86" s="24"/>
      <c r="I86" s="24"/>
      <c r="J86" s="24"/>
      <c r="K86" s="24">
        <f t="shared" si="14"/>
        <v>0</v>
      </c>
      <c r="L86" s="24"/>
      <c r="M86" s="24">
        <f t="shared" si="15"/>
        <v>0</v>
      </c>
      <c r="N86" s="24"/>
      <c r="O86" s="24"/>
      <c r="P86" s="24"/>
      <c r="Q86" s="24"/>
      <c r="R86" s="24">
        <f t="shared" si="16"/>
        <v>0</v>
      </c>
    </row>
    <row r="87" spans="1:18" s="12" customFormat="1" x14ac:dyDescent="0.25">
      <c r="A87" s="13" t="s">
        <v>253</v>
      </c>
      <c r="B87" s="14"/>
      <c r="C87" s="14">
        <v>4314</v>
      </c>
      <c r="D87" s="14">
        <f>4280+430</f>
        <v>4710</v>
      </c>
      <c r="E87" s="14"/>
      <c r="F87" s="14"/>
      <c r="G87" s="14"/>
      <c r="H87" s="14"/>
      <c r="I87" s="14"/>
      <c r="J87" s="14"/>
      <c r="K87" s="14">
        <f t="shared" si="14"/>
        <v>9024</v>
      </c>
      <c r="L87" s="14">
        <v>0</v>
      </c>
      <c r="M87" s="14">
        <f t="shared" si="15"/>
        <v>9024</v>
      </c>
      <c r="N87" s="14">
        <v>0</v>
      </c>
      <c r="O87" s="14"/>
      <c r="P87" s="14"/>
      <c r="Q87" s="14">
        <v>0</v>
      </c>
      <c r="R87" s="14">
        <f t="shared" si="16"/>
        <v>9024</v>
      </c>
    </row>
    <row r="88" spans="1:18" s="12" customFormat="1" x14ac:dyDescent="0.25">
      <c r="A88" s="13" t="s">
        <v>254</v>
      </c>
      <c r="B88" s="14">
        <v>27400</v>
      </c>
      <c r="C88" s="14">
        <f>15779+1600+1200+611+1390+4183</f>
        <v>24763</v>
      </c>
      <c r="D88" s="14">
        <v>3573</v>
      </c>
      <c r="E88" s="14"/>
      <c r="F88" s="14"/>
      <c r="G88" s="14"/>
      <c r="H88" s="14">
        <v>25700</v>
      </c>
      <c r="I88" s="14"/>
      <c r="J88" s="14"/>
      <c r="K88" s="14">
        <f t="shared" si="14"/>
        <v>81436</v>
      </c>
      <c r="L88" s="14">
        <f>9000+11460+1285</f>
        <v>21745</v>
      </c>
      <c r="M88" s="14">
        <f t="shared" si="15"/>
        <v>59691</v>
      </c>
      <c r="N88" s="14"/>
      <c r="O88" s="14"/>
      <c r="P88" s="14"/>
      <c r="Q88" s="14"/>
      <c r="R88" s="14">
        <f t="shared" si="16"/>
        <v>59691</v>
      </c>
    </row>
    <row r="89" spans="1:18" s="12" customFormat="1" x14ac:dyDescent="0.25">
      <c r="A89" s="13" t="s">
        <v>255</v>
      </c>
      <c r="B89" s="14">
        <v>63685</v>
      </c>
      <c r="C89" s="14">
        <f>30799.25+2357+370+600+12000+5376+1500</f>
        <v>53002.25</v>
      </c>
      <c r="D89" s="14">
        <f>600+5150</f>
        <v>5750</v>
      </c>
      <c r="E89" s="14"/>
      <c r="F89" s="14"/>
      <c r="G89" s="14"/>
      <c r="H89" s="14">
        <f>15748+813.75</f>
        <v>16561.75</v>
      </c>
      <c r="I89" s="14">
        <f>200+4598+2420</f>
        <v>7218</v>
      </c>
      <c r="J89" s="14"/>
      <c r="K89" s="14">
        <f t="shared" si="14"/>
        <v>146217</v>
      </c>
      <c r="L89" s="14">
        <f>102381+13000+1355+44+2400+2971+1357+8300+1500+4600+4568+2320</f>
        <v>144796</v>
      </c>
      <c r="M89" s="14">
        <f t="shared" si="15"/>
        <v>1421</v>
      </c>
      <c r="N89" s="14"/>
      <c r="O89" s="14"/>
      <c r="P89" s="14"/>
      <c r="Q89" s="14"/>
      <c r="R89" s="14">
        <f t="shared" si="16"/>
        <v>1421</v>
      </c>
    </row>
    <row r="90" spans="1:18" s="12" customFormat="1" x14ac:dyDescent="0.25">
      <c r="A90" s="13" t="s">
        <v>256</v>
      </c>
      <c r="B90" s="14">
        <v>2270</v>
      </c>
      <c r="C90" s="14">
        <f>3553+1806+3416+2000+3996+614+1500</f>
        <v>16885</v>
      </c>
      <c r="D90" s="14">
        <v>0</v>
      </c>
      <c r="E90" s="14">
        <v>0</v>
      </c>
      <c r="F90" s="14"/>
      <c r="G90" s="14"/>
      <c r="H90" s="14"/>
      <c r="I90" s="14"/>
      <c r="J90" s="14"/>
      <c r="K90" s="14">
        <f t="shared" si="14"/>
        <v>19155</v>
      </c>
      <c r="L90" s="14">
        <v>18246</v>
      </c>
      <c r="M90" s="14">
        <f t="shared" si="15"/>
        <v>909</v>
      </c>
      <c r="N90" s="14"/>
      <c r="O90" s="14"/>
      <c r="P90" s="14"/>
      <c r="Q90" s="14"/>
      <c r="R90" s="14">
        <f t="shared" si="16"/>
        <v>909</v>
      </c>
    </row>
    <row r="91" spans="1:18" x14ac:dyDescent="0.25">
      <c r="A91" s="23" t="s">
        <v>257</v>
      </c>
      <c r="B91" s="24"/>
      <c r="C91" s="24"/>
      <c r="D91" s="24"/>
      <c r="E91" s="24"/>
      <c r="F91" s="24"/>
      <c r="G91" s="24"/>
      <c r="H91" s="24"/>
      <c r="I91" s="24"/>
      <c r="J91" s="24"/>
      <c r="K91" s="24">
        <f t="shared" si="14"/>
        <v>0</v>
      </c>
      <c r="L91" s="24"/>
      <c r="M91" s="24">
        <f t="shared" si="15"/>
        <v>0</v>
      </c>
      <c r="N91" s="24"/>
      <c r="O91" s="24"/>
      <c r="P91" s="24"/>
      <c r="Q91" s="24"/>
      <c r="R91" s="24">
        <f t="shared" si="16"/>
        <v>0</v>
      </c>
    </row>
    <row r="92" spans="1:18" x14ac:dyDescent="0.25">
      <c r="A92" s="23" t="s">
        <v>258</v>
      </c>
      <c r="B92" s="24"/>
      <c r="C92" s="24"/>
      <c r="D92" s="24"/>
      <c r="E92" s="24"/>
      <c r="F92" s="24"/>
      <c r="G92" s="24"/>
      <c r="H92" s="24"/>
      <c r="I92" s="24"/>
      <c r="J92" s="24"/>
      <c r="K92" s="24">
        <f t="shared" si="14"/>
        <v>0</v>
      </c>
      <c r="L92" s="24"/>
      <c r="M92" s="24">
        <f t="shared" si="15"/>
        <v>0</v>
      </c>
      <c r="N92" s="24"/>
      <c r="O92" s="24"/>
      <c r="P92" s="24"/>
      <c r="Q92" s="24"/>
      <c r="R92" s="24">
        <f t="shared" si="16"/>
        <v>0</v>
      </c>
    </row>
    <row r="93" spans="1:18" x14ac:dyDescent="0.25">
      <c r="A93" s="23" t="s">
        <v>259</v>
      </c>
      <c r="B93" s="24"/>
      <c r="C93" s="24"/>
      <c r="D93" s="24"/>
      <c r="E93" s="24"/>
      <c r="F93" s="24"/>
      <c r="G93" s="24"/>
      <c r="H93" s="24"/>
      <c r="I93" s="24"/>
      <c r="J93" s="24"/>
      <c r="K93" s="24">
        <f t="shared" si="14"/>
        <v>0</v>
      </c>
      <c r="L93" s="24"/>
      <c r="M93" s="24">
        <f t="shared" si="15"/>
        <v>0</v>
      </c>
      <c r="N93" s="24">
        <v>0</v>
      </c>
      <c r="O93" s="24"/>
      <c r="P93" s="24"/>
      <c r="Q93" s="24"/>
      <c r="R93" s="24">
        <f t="shared" si="16"/>
        <v>0</v>
      </c>
    </row>
    <row r="94" spans="1:18" x14ac:dyDescent="0.25">
      <c r="A94" s="23" t="s">
        <v>260</v>
      </c>
      <c r="B94" s="24"/>
      <c r="C94" s="24"/>
      <c r="D94" s="24">
        <v>0</v>
      </c>
      <c r="E94" s="24">
        <v>0</v>
      </c>
      <c r="F94" s="24"/>
      <c r="G94" s="24">
        <v>0</v>
      </c>
      <c r="H94" s="24"/>
      <c r="I94" s="24"/>
      <c r="J94" s="24"/>
      <c r="K94" s="24">
        <f t="shared" si="14"/>
        <v>0</v>
      </c>
      <c r="L94" s="24"/>
      <c r="M94" s="24">
        <f t="shared" si="15"/>
        <v>0</v>
      </c>
      <c r="N94" s="24"/>
      <c r="O94" s="24"/>
      <c r="P94" s="24"/>
      <c r="Q94" s="24"/>
      <c r="R94" s="24">
        <f t="shared" si="16"/>
        <v>0</v>
      </c>
    </row>
    <row r="95" spans="1:18" x14ac:dyDescent="0.25">
      <c r="A95" s="23" t="s">
        <v>261</v>
      </c>
      <c r="B95" s="24">
        <v>0</v>
      </c>
      <c r="C95" s="24"/>
      <c r="D95" s="24"/>
      <c r="E95" s="24"/>
      <c r="F95" s="24"/>
      <c r="G95" s="24"/>
      <c r="H95" s="24"/>
      <c r="I95" s="24"/>
      <c r="J95" s="24"/>
      <c r="K95" s="24">
        <f t="shared" si="14"/>
        <v>0</v>
      </c>
      <c r="L95" s="24"/>
      <c r="M95" s="24">
        <f t="shared" si="15"/>
        <v>0</v>
      </c>
      <c r="N95" s="24"/>
      <c r="O95" s="24"/>
      <c r="P95" s="24"/>
      <c r="Q95" s="24"/>
      <c r="R95" s="24">
        <f t="shared" si="16"/>
        <v>0</v>
      </c>
    </row>
    <row r="96" spans="1:18" x14ac:dyDescent="0.25">
      <c r="A96" s="23" t="s">
        <v>262</v>
      </c>
      <c r="B96" s="24"/>
      <c r="C96" s="24"/>
      <c r="D96" s="24"/>
      <c r="E96" s="24"/>
      <c r="F96" s="24"/>
      <c r="G96" s="24"/>
      <c r="H96" s="24"/>
      <c r="I96" s="24"/>
      <c r="J96" s="24"/>
      <c r="K96" s="24">
        <f>SUM(B96:J96)</f>
        <v>0</v>
      </c>
      <c r="L96" s="24"/>
      <c r="M96" s="24">
        <f t="shared" si="15"/>
        <v>0</v>
      </c>
      <c r="N96" s="24"/>
      <c r="O96" s="24"/>
      <c r="P96" s="24"/>
      <c r="Q96" s="24"/>
      <c r="R96" s="24">
        <f t="shared" si="16"/>
        <v>0</v>
      </c>
    </row>
    <row r="97" spans="1:19" s="12" customFormat="1" x14ac:dyDescent="0.25">
      <c r="A97" s="13" t="s">
        <v>263</v>
      </c>
      <c r="B97" s="14">
        <v>0</v>
      </c>
      <c r="C97" s="14">
        <f>8627+676</f>
        <v>9303</v>
      </c>
      <c r="D97" s="14">
        <f>753+1000</f>
        <v>1753</v>
      </c>
      <c r="E97" s="14"/>
      <c r="F97" s="14"/>
      <c r="G97" s="14"/>
      <c r="H97" s="14"/>
      <c r="I97" s="14">
        <v>0</v>
      </c>
      <c r="J97" s="14"/>
      <c r="K97" s="14">
        <f t="shared" si="14"/>
        <v>11056</v>
      </c>
      <c r="L97" s="14">
        <v>0</v>
      </c>
      <c r="M97" s="14">
        <f t="shared" si="15"/>
        <v>11056</v>
      </c>
      <c r="N97" s="14">
        <v>0</v>
      </c>
      <c r="O97" s="14"/>
      <c r="P97" s="14"/>
      <c r="Q97" s="14">
        <v>0</v>
      </c>
      <c r="R97" s="14">
        <f t="shared" si="16"/>
        <v>11056</v>
      </c>
    </row>
    <row r="98" spans="1:19" x14ac:dyDescent="0.25">
      <c r="A98" s="26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9" x14ac:dyDescent="0.25">
      <c r="A99" s="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9" ht="36" x14ac:dyDescent="0.25">
      <c r="A100" s="29" t="s">
        <v>264</v>
      </c>
      <c r="B100" s="20" t="s">
        <v>292</v>
      </c>
      <c r="C100" s="20" t="s">
        <v>293</v>
      </c>
      <c r="D100" s="20" t="s">
        <v>294</v>
      </c>
      <c r="E100" s="20" t="s">
        <v>295</v>
      </c>
      <c r="F100" s="20" t="s">
        <v>296</v>
      </c>
      <c r="G100" s="20" t="s">
        <v>297</v>
      </c>
      <c r="H100" s="20" t="s">
        <v>298</v>
      </c>
      <c r="I100" s="20" t="s">
        <v>299</v>
      </c>
      <c r="J100" s="20" t="s">
        <v>300</v>
      </c>
      <c r="K100" s="20" t="s">
        <v>301</v>
      </c>
      <c r="L100" s="21" t="s">
        <v>302</v>
      </c>
      <c r="M100" s="22" t="s">
        <v>303</v>
      </c>
      <c r="N100" s="6" t="s">
        <v>307</v>
      </c>
      <c r="O100" s="7" t="s">
        <v>304</v>
      </c>
      <c r="P100" s="7" t="s">
        <v>6</v>
      </c>
      <c r="Q100" s="8" t="s">
        <v>305</v>
      </c>
      <c r="R100" s="9" t="s">
        <v>306</v>
      </c>
    </row>
    <row r="101" spans="1:19" s="12" customFormat="1" x14ac:dyDescent="0.25">
      <c r="A101" s="13" t="s">
        <v>265</v>
      </c>
      <c r="B101" s="14">
        <v>2200</v>
      </c>
      <c r="C101" s="14">
        <v>6715</v>
      </c>
      <c r="D101" s="14">
        <v>400</v>
      </c>
      <c r="E101" s="14"/>
      <c r="F101" s="14"/>
      <c r="G101" s="14"/>
      <c r="H101" s="14">
        <v>2100</v>
      </c>
      <c r="I101" s="14">
        <v>1060</v>
      </c>
      <c r="J101" s="14"/>
      <c r="K101" s="14">
        <f>SUM(B101:J101)</f>
        <v>12475</v>
      </c>
      <c r="L101" s="14">
        <f>3055+8000</f>
        <v>11055</v>
      </c>
      <c r="M101" s="14">
        <f>K101-L101</f>
        <v>1420</v>
      </c>
      <c r="N101" s="14"/>
      <c r="O101" s="14"/>
      <c r="P101" s="14"/>
      <c r="Q101" s="14"/>
      <c r="R101" s="14">
        <f t="shared" ref="R101:R111" si="19">+M101+N101+O101-Q101</f>
        <v>1420</v>
      </c>
    </row>
    <row r="102" spans="1:19" s="12" customFormat="1" x14ac:dyDescent="0.25">
      <c r="A102" s="13" t="s">
        <v>266</v>
      </c>
      <c r="B102" s="14">
        <v>350</v>
      </c>
      <c r="C102" s="14">
        <v>19154</v>
      </c>
      <c r="D102" s="14">
        <f>765+50+140+1000+25+1845</f>
        <v>3825</v>
      </c>
      <c r="E102" s="14"/>
      <c r="F102" s="14">
        <f>5500+2300+1000</f>
        <v>8800</v>
      </c>
      <c r="G102" s="14"/>
      <c r="H102" s="14"/>
      <c r="I102" s="14">
        <f>75+280+1200</f>
        <v>1555</v>
      </c>
      <c r="J102" s="14"/>
      <c r="K102" s="14">
        <f t="shared" ref="K102:K116" si="20">SUM(B102:J102)</f>
        <v>33684</v>
      </c>
      <c r="L102" s="14">
        <v>33950</v>
      </c>
      <c r="M102" s="14">
        <f t="shared" ref="M102:M116" si="21">K102-L102</f>
        <v>-266</v>
      </c>
      <c r="N102" s="14">
        <v>29200.400000000001</v>
      </c>
      <c r="O102" s="14">
        <v>334619.32</v>
      </c>
      <c r="P102" s="14"/>
      <c r="Q102" s="14">
        <v>311535.32</v>
      </c>
      <c r="R102" s="14">
        <f t="shared" si="19"/>
        <v>52018.400000000023</v>
      </c>
    </row>
    <row r="103" spans="1:19" x14ac:dyDescent="0.25">
      <c r="A103" s="23" t="s">
        <v>267</v>
      </c>
      <c r="B103" s="24">
        <v>7910</v>
      </c>
      <c r="C103" s="24">
        <f>1500+530</f>
        <v>2030</v>
      </c>
      <c r="D103" s="24">
        <v>0</v>
      </c>
      <c r="E103" s="24"/>
      <c r="F103" s="24"/>
      <c r="G103" s="24">
        <v>108050.77</v>
      </c>
      <c r="H103" s="24"/>
      <c r="I103" s="24"/>
      <c r="J103" s="24"/>
      <c r="K103" s="24">
        <f t="shared" si="20"/>
        <v>117990.77</v>
      </c>
      <c r="L103" s="24">
        <f>2700+921+7700+1500+37121</f>
        <v>49942</v>
      </c>
      <c r="M103" s="24">
        <f t="shared" si="21"/>
        <v>68048.77</v>
      </c>
      <c r="N103" s="24"/>
      <c r="O103" s="24">
        <v>0</v>
      </c>
      <c r="P103" s="24"/>
      <c r="Q103" s="24">
        <v>831</v>
      </c>
      <c r="R103" s="24">
        <f t="shared" si="19"/>
        <v>67217.77</v>
      </c>
    </row>
    <row r="104" spans="1:19" s="12" customFormat="1" x14ac:dyDescent="0.25">
      <c r="A104" s="13" t="s">
        <v>268</v>
      </c>
      <c r="B104" s="14">
        <v>610</v>
      </c>
      <c r="C104" s="14">
        <v>2186</v>
      </c>
      <c r="D104" s="14">
        <v>992</v>
      </c>
      <c r="E104" s="14"/>
      <c r="F104" s="14"/>
      <c r="G104" s="14"/>
      <c r="H104" s="14">
        <v>0</v>
      </c>
      <c r="I104" s="14">
        <f>60+1545</f>
        <v>1605</v>
      </c>
      <c r="J104" s="14"/>
      <c r="K104" s="14">
        <f t="shared" si="20"/>
        <v>5393</v>
      </c>
      <c r="L104" s="14">
        <f>500+1100+3000+500</f>
        <v>5100</v>
      </c>
      <c r="M104" s="14">
        <f t="shared" si="21"/>
        <v>293</v>
      </c>
      <c r="N104" s="14">
        <v>7115.75</v>
      </c>
      <c r="O104" s="14"/>
      <c r="P104" s="14"/>
      <c r="Q104" s="14">
        <v>5000</v>
      </c>
      <c r="R104" s="14">
        <f t="shared" si="19"/>
        <v>2408.75</v>
      </c>
    </row>
    <row r="105" spans="1:19" s="12" customFormat="1" x14ac:dyDescent="0.25">
      <c r="A105" s="13" t="s">
        <v>269</v>
      </c>
      <c r="B105" s="14">
        <v>5200</v>
      </c>
      <c r="C105" s="14">
        <v>5408</v>
      </c>
      <c r="D105" s="14"/>
      <c r="E105" s="14"/>
      <c r="F105" s="14"/>
      <c r="G105" s="14"/>
      <c r="H105" s="14">
        <v>200</v>
      </c>
      <c r="I105" s="14"/>
      <c r="J105" s="14"/>
      <c r="K105" s="14">
        <f t="shared" si="20"/>
        <v>10808</v>
      </c>
      <c r="L105" s="14">
        <v>11309</v>
      </c>
      <c r="M105" s="14">
        <f t="shared" si="21"/>
        <v>-501</v>
      </c>
      <c r="N105" s="14">
        <v>-501</v>
      </c>
      <c r="O105" s="14"/>
      <c r="P105" s="14"/>
      <c r="Q105" s="14"/>
      <c r="R105" s="14">
        <f t="shared" si="19"/>
        <v>-1002</v>
      </c>
    </row>
    <row r="106" spans="1:19" s="12" customFormat="1" x14ac:dyDescent="0.25">
      <c r="A106" s="13" t="s">
        <v>270</v>
      </c>
      <c r="B106" s="14">
        <v>107400</v>
      </c>
      <c r="C106" s="14">
        <v>13276</v>
      </c>
      <c r="D106" s="14">
        <f>2150+200+1610+1100+1200+1232+200+2340+1094</f>
        <v>11126</v>
      </c>
      <c r="E106" s="14">
        <v>0</v>
      </c>
      <c r="F106" s="14">
        <v>0</v>
      </c>
      <c r="G106" s="14"/>
      <c r="H106" s="14"/>
      <c r="I106" s="14">
        <v>660</v>
      </c>
      <c r="J106" s="14"/>
      <c r="K106" s="14">
        <f t="shared" si="20"/>
        <v>132462</v>
      </c>
      <c r="L106" s="14">
        <f>62000+1325+1834.84+36296+2175+11550+2500+1800+4300+1094</f>
        <v>124874.84</v>
      </c>
      <c r="M106" s="14">
        <f t="shared" si="21"/>
        <v>7587.1600000000035</v>
      </c>
      <c r="N106" s="14">
        <v>9684.5</v>
      </c>
      <c r="O106" s="14"/>
      <c r="P106" s="14"/>
      <c r="Q106" s="14"/>
      <c r="R106" s="14">
        <f>+M106+N106+O106-Q106</f>
        <v>17271.660000000003</v>
      </c>
    </row>
    <row r="107" spans="1:19" x14ac:dyDescent="0.25">
      <c r="A107" s="23" t="s">
        <v>271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>
        <f t="shared" si="20"/>
        <v>0</v>
      </c>
      <c r="L107" s="24"/>
      <c r="M107" s="24">
        <f t="shared" si="21"/>
        <v>0</v>
      </c>
      <c r="N107" s="24"/>
      <c r="O107" s="24"/>
      <c r="P107" s="24"/>
      <c r="Q107" s="24"/>
      <c r="R107" s="24">
        <f t="shared" si="19"/>
        <v>0</v>
      </c>
    </row>
    <row r="108" spans="1:19" x14ac:dyDescent="0.25">
      <c r="A108" s="23" t="s">
        <v>272</v>
      </c>
      <c r="B108" s="24">
        <v>100</v>
      </c>
      <c r="C108" s="24">
        <f>8043+280+728</f>
        <v>9051</v>
      </c>
      <c r="D108" s="24"/>
      <c r="E108" s="24"/>
      <c r="F108" s="24"/>
      <c r="G108" s="24"/>
      <c r="H108" s="24"/>
      <c r="I108" s="24"/>
      <c r="J108" s="24"/>
      <c r="K108" s="24">
        <f t="shared" si="20"/>
        <v>9151</v>
      </c>
      <c r="L108" s="24"/>
      <c r="M108" s="24">
        <f t="shared" si="21"/>
        <v>9151</v>
      </c>
      <c r="N108" s="24"/>
      <c r="O108" s="24"/>
      <c r="P108" s="24"/>
      <c r="Q108" s="24"/>
      <c r="R108" s="24">
        <f t="shared" si="19"/>
        <v>9151</v>
      </c>
    </row>
    <row r="109" spans="1:19" s="12" customFormat="1" x14ac:dyDescent="0.25">
      <c r="A109" s="13" t="s">
        <v>417</v>
      </c>
      <c r="B109" s="14">
        <v>15115</v>
      </c>
      <c r="C109" s="14">
        <v>19237</v>
      </c>
      <c r="D109" s="14">
        <f>1200+500+17000+2000+6000</f>
        <v>26700</v>
      </c>
      <c r="E109" s="14"/>
      <c r="F109" s="14"/>
      <c r="G109" s="14"/>
      <c r="H109" s="14"/>
      <c r="I109" s="14">
        <v>1475</v>
      </c>
      <c r="J109" s="14"/>
      <c r="K109" s="14">
        <f t="shared" ref="K109" si="22">SUM(B109:J109)</f>
        <v>62527</v>
      </c>
      <c r="L109" s="14">
        <f>1475+2500+200+528.75+42633.25+190+10000</f>
        <v>57527</v>
      </c>
      <c r="M109" s="14">
        <f t="shared" si="21"/>
        <v>5000</v>
      </c>
      <c r="N109" s="14"/>
      <c r="O109" s="14"/>
      <c r="P109" s="14"/>
      <c r="Q109" s="14"/>
      <c r="R109" s="14">
        <f t="shared" si="19"/>
        <v>5000</v>
      </c>
    </row>
    <row r="110" spans="1:19" s="12" customFormat="1" x14ac:dyDescent="0.25">
      <c r="A110" s="13" t="s">
        <v>418</v>
      </c>
      <c r="B110" s="14"/>
      <c r="C110" s="14">
        <v>4144</v>
      </c>
      <c r="D110" s="14">
        <v>0</v>
      </c>
      <c r="E110" s="14">
        <v>0</v>
      </c>
      <c r="F110" s="14">
        <v>0</v>
      </c>
      <c r="G110" s="14"/>
      <c r="H110" s="14"/>
      <c r="I110" s="14">
        <v>0</v>
      </c>
      <c r="J110" s="14"/>
      <c r="K110" s="14">
        <f t="shared" ref="K110" si="23">SUM(B110:J110)</f>
        <v>4144</v>
      </c>
      <c r="L110" s="14">
        <v>400</v>
      </c>
      <c r="M110" s="14">
        <f t="shared" si="21"/>
        <v>3744</v>
      </c>
      <c r="N110" s="14"/>
      <c r="O110" s="14">
        <v>0</v>
      </c>
      <c r="P110" s="14"/>
      <c r="Q110" s="14">
        <v>0</v>
      </c>
      <c r="R110" s="14">
        <f>+M110+N110+O110-Q110</f>
        <v>3744</v>
      </c>
      <c r="S110" s="35"/>
    </row>
    <row r="111" spans="1:19" s="12" customFormat="1" x14ac:dyDescent="0.25">
      <c r="A111" s="13" t="s">
        <v>273</v>
      </c>
      <c r="B111" s="14">
        <f>8240+4650+8397</f>
        <v>21287</v>
      </c>
      <c r="C111" s="14">
        <f>10028+8758+8944</f>
        <v>27730</v>
      </c>
      <c r="D111" s="14">
        <f>1500+7000+1000+500+2000+2000+4020+11889+15534+14675.25+12424</f>
        <v>72542.25</v>
      </c>
      <c r="E111" s="14"/>
      <c r="F111" s="14"/>
      <c r="G111" s="14"/>
      <c r="H111" s="14"/>
      <c r="I111" s="14">
        <f>10000+1798+500+800</f>
        <v>13098</v>
      </c>
      <c r="J111" s="14"/>
      <c r="K111" s="14">
        <f t="shared" si="20"/>
        <v>134657.25</v>
      </c>
      <c r="L111" s="14">
        <v>138824</v>
      </c>
      <c r="M111" s="14">
        <f t="shared" si="21"/>
        <v>-4166.75</v>
      </c>
      <c r="N111" s="14">
        <v>21171.71</v>
      </c>
      <c r="O111" s="14"/>
      <c r="P111" s="14"/>
      <c r="Q111" s="14"/>
      <c r="R111" s="14">
        <f t="shared" si="19"/>
        <v>17004.96</v>
      </c>
    </row>
    <row r="112" spans="1:19" s="12" customFormat="1" x14ac:dyDescent="0.25">
      <c r="A112" s="13" t="s">
        <v>274</v>
      </c>
      <c r="B112" s="14">
        <v>32990</v>
      </c>
      <c r="C112" s="14">
        <f>51370.25+3750+100+3305+1000+1254+16856.25+7794+3623+10794</f>
        <v>99846.5</v>
      </c>
      <c r="D112" s="14">
        <v>1200</v>
      </c>
      <c r="E112" s="14">
        <v>0</v>
      </c>
      <c r="F112" s="14">
        <f>26100+73715+37010</f>
        <v>136825</v>
      </c>
      <c r="G112" s="14">
        <v>0</v>
      </c>
      <c r="H112" s="14">
        <f>1000+1930</f>
        <v>2930</v>
      </c>
      <c r="I112" s="14">
        <v>3344</v>
      </c>
      <c r="J112" s="14"/>
      <c r="K112" s="14">
        <f t="shared" si="20"/>
        <v>277135.5</v>
      </c>
      <c r="L112" s="14">
        <v>130946</v>
      </c>
      <c r="M112" s="14">
        <f t="shared" si="21"/>
        <v>146189.5</v>
      </c>
      <c r="N112" s="14">
        <v>105353.35</v>
      </c>
      <c r="O112" s="14">
        <v>30000</v>
      </c>
      <c r="P112" s="14"/>
      <c r="Q112" s="14">
        <v>236644</v>
      </c>
      <c r="R112" s="14">
        <f>+M112+N112+O112-Q112</f>
        <v>44898.849999999977</v>
      </c>
      <c r="S112" s="35"/>
    </row>
    <row r="113" spans="1:18" s="12" customFormat="1" x14ac:dyDescent="0.25">
      <c r="A113" s="13" t="s">
        <v>275</v>
      </c>
      <c r="B113" s="14">
        <v>38650</v>
      </c>
      <c r="C113" s="14">
        <v>18458.75</v>
      </c>
      <c r="D113" s="14">
        <f>1750+1000+4320+2006+6170+1000+3720+6850+1520+600+955+1500+5775.25</f>
        <v>37166.25</v>
      </c>
      <c r="E113" s="14">
        <v>0</v>
      </c>
      <c r="F113" s="14"/>
      <c r="G113" s="14">
        <v>3550.12</v>
      </c>
      <c r="H113" s="14">
        <v>4000</v>
      </c>
      <c r="I113" s="14">
        <v>1565</v>
      </c>
      <c r="J113" s="14"/>
      <c r="K113" s="14">
        <f t="shared" si="20"/>
        <v>103390.12</v>
      </c>
      <c r="L113" s="14">
        <f>1750.43+400+2100+3000+5000+903</f>
        <v>13153.43</v>
      </c>
      <c r="M113" s="14">
        <f t="shared" si="21"/>
        <v>90236.69</v>
      </c>
      <c r="N113" s="14">
        <v>14357.08</v>
      </c>
      <c r="O113" s="14"/>
      <c r="P113" s="14"/>
      <c r="Q113" s="14">
        <v>55400</v>
      </c>
      <c r="R113" s="14">
        <f>+M113+N113+O113-Q113</f>
        <v>49193.770000000004</v>
      </c>
    </row>
    <row r="114" spans="1:18" x14ac:dyDescent="0.25">
      <c r="A114" s="23" t="s">
        <v>276</v>
      </c>
      <c r="B114" s="24"/>
      <c r="C114" s="24">
        <v>61861</v>
      </c>
      <c r="D114" s="24">
        <f>82532.75+1900+19898+50228+11446.5+1500+1000+3284+4176+4761+2152+19658+3780</f>
        <v>206316.25</v>
      </c>
      <c r="E114" s="24"/>
      <c r="F114" s="24"/>
      <c r="G114" s="24">
        <v>17334.48</v>
      </c>
      <c r="H114" s="24">
        <f>62020+219+1000000</f>
        <v>1062239</v>
      </c>
      <c r="I114" s="24">
        <v>199443</v>
      </c>
      <c r="J114" s="24"/>
      <c r="K114" s="24">
        <f t="shared" si="20"/>
        <v>1547193.73</v>
      </c>
      <c r="L114" s="24">
        <v>3102977.73</v>
      </c>
      <c r="M114" s="24">
        <f t="shared" si="21"/>
        <v>-1555784</v>
      </c>
      <c r="N114" s="24">
        <v>22225</v>
      </c>
      <c r="O114" s="24">
        <v>1533559</v>
      </c>
      <c r="P114" s="24"/>
      <c r="Q114" s="24"/>
      <c r="R114" s="24">
        <f t="shared" ref="R114:R116" si="24">+M114+N114+O114-Q114</f>
        <v>0</v>
      </c>
    </row>
    <row r="115" spans="1:18" x14ac:dyDescent="0.25">
      <c r="A115" s="23" t="s">
        <v>277</v>
      </c>
      <c r="B115" s="24">
        <v>1000</v>
      </c>
      <c r="C115" s="24">
        <v>4038</v>
      </c>
      <c r="D115" s="24">
        <v>300</v>
      </c>
      <c r="E115" s="24"/>
      <c r="F115" s="24"/>
      <c r="G115" s="24"/>
      <c r="H115" s="24"/>
      <c r="I115" s="24"/>
      <c r="J115" s="24"/>
      <c r="K115" s="24">
        <f t="shared" si="20"/>
        <v>5338</v>
      </c>
      <c r="L115" s="24">
        <f>6000+300+2400+1800</f>
        <v>10500</v>
      </c>
      <c r="M115" s="24">
        <f t="shared" si="21"/>
        <v>-5162</v>
      </c>
      <c r="N115" s="24"/>
      <c r="O115" s="24"/>
      <c r="P115" s="24"/>
      <c r="Q115" s="24"/>
      <c r="R115" s="24">
        <f t="shared" si="24"/>
        <v>-5162</v>
      </c>
    </row>
    <row r="116" spans="1:18" x14ac:dyDescent="0.25">
      <c r="A116" s="3" t="s">
        <v>419</v>
      </c>
      <c r="B116" s="24"/>
      <c r="C116" s="24">
        <v>2830</v>
      </c>
      <c r="D116" s="24"/>
      <c r="E116" s="24"/>
      <c r="F116" s="24"/>
      <c r="G116" s="24"/>
      <c r="H116" s="24"/>
      <c r="I116" s="24"/>
      <c r="J116" s="24"/>
      <c r="K116" s="24">
        <f t="shared" si="20"/>
        <v>2830</v>
      </c>
      <c r="L116" s="24">
        <v>2200</v>
      </c>
      <c r="M116" s="24">
        <f t="shared" si="21"/>
        <v>630</v>
      </c>
      <c r="N116" s="24" t="s">
        <v>413</v>
      </c>
      <c r="O116" s="24"/>
      <c r="P116" s="24"/>
      <c r="Q116" s="24"/>
      <c r="R116" s="24" t="e">
        <f t="shared" si="24"/>
        <v>#VALUE!</v>
      </c>
    </row>
    <row r="117" spans="1:18" x14ac:dyDescent="0.25">
      <c r="A117" s="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x14ac:dyDescent="0.25">
      <c r="A118" s="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36" x14ac:dyDescent="0.25">
      <c r="A119" s="29" t="s">
        <v>278</v>
      </c>
      <c r="B119" s="20" t="s">
        <v>292</v>
      </c>
      <c r="C119" s="20" t="s">
        <v>293</v>
      </c>
      <c r="D119" s="20" t="s">
        <v>294</v>
      </c>
      <c r="E119" s="20" t="s">
        <v>295</v>
      </c>
      <c r="F119" s="20" t="s">
        <v>296</v>
      </c>
      <c r="G119" s="20" t="s">
        <v>297</v>
      </c>
      <c r="H119" s="20" t="s">
        <v>298</v>
      </c>
      <c r="I119" s="20" t="s">
        <v>299</v>
      </c>
      <c r="J119" s="20" t="s">
        <v>300</v>
      </c>
      <c r="K119" s="20" t="s">
        <v>301</v>
      </c>
      <c r="L119" s="21" t="s">
        <v>302</v>
      </c>
      <c r="M119" s="22" t="s">
        <v>303</v>
      </c>
      <c r="N119" s="6" t="s">
        <v>307</v>
      </c>
      <c r="O119" s="7" t="s">
        <v>304</v>
      </c>
      <c r="P119" s="7" t="s">
        <v>6</v>
      </c>
      <c r="Q119" s="8" t="s">
        <v>305</v>
      </c>
      <c r="R119" s="9" t="s">
        <v>306</v>
      </c>
    </row>
    <row r="120" spans="1:18" s="12" customFormat="1" x14ac:dyDescent="0.25">
      <c r="A120" s="13" t="s">
        <v>279</v>
      </c>
      <c r="B120" s="14"/>
      <c r="C120" s="14">
        <f>11517+2000+3212+310+1497</f>
        <v>18536</v>
      </c>
      <c r="D120" s="14">
        <v>0</v>
      </c>
      <c r="E120" s="14"/>
      <c r="F120" s="14"/>
      <c r="G120" s="14"/>
      <c r="H120" s="14">
        <v>2250</v>
      </c>
      <c r="I120" s="14"/>
      <c r="J120" s="14"/>
      <c r="K120" s="14">
        <f>SUM(B120:J120)</f>
        <v>20786</v>
      </c>
      <c r="L120" s="14">
        <f>6000+3200+2100+400+47+7100+414</f>
        <v>19261</v>
      </c>
      <c r="M120" s="14">
        <f>K120-L120</f>
        <v>1525</v>
      </c>
      <c r="N120" s="14">
        <v>23786</v>
      </c>
      <c r="O120" s="14"/>
      <c r="P120" s="14"/>
      <c r="Q120" s="14"/>
      <c r="R120" s="14">
        <f>+M120+N120+O120-Q120</f>
        <v>25311</v>
      </c>
    </row>
    <row r="121" spans="1:18" s="12" customFormat="1" x14ac:dyDescent="0.25">
      <c r="A121" s="13" t="s">
        <v>280</v>
      </c>
      <c r="B121" s="14">
        <v>2800</v>
      </c>
      <c r="C121" s="14">
        <f>6742+500+200+300+634+4250</f>
        <v>12626</v>
      </c>
      <c r="D121" s="14"/>
      <c r="E121" s="14"/>
      <c r="F121" s="14"/>
      <c r="G121" s="14"/>
      <c r="H121" s="14"/>
      <c r="I121" s="14"/>
      <c r="J121" s="14"/>
      <c r="K121" s="14">
        <f t="shared" ref="K121:K132" si="25">SUM(B121:J121)</f>
        <v>15426</v>
      </c>
      <c r="L121" s="14">
        <f>4000+333+2100+200+385</f>
        <v>7018</v>
      </c>
      <c r="M121" s="14">
        <f t="shared" ref="M121:M132" si="26">K121-L121</f>
        <v>8408</v>
      </c>
      <c r="N121" s="14"/>
      <c r="O121" s="14"/>
      <c r="P121" s="14"/>
      <c r="Q121" s="14"/>
      <c r="R121" s="14">
        <f t="shared" ref="R121:R131" si="27">+M121+N121+O121-Q121</f>
        <v>8408</v>
      </c>
    </row>
    <row r="122" spans="1:18" s="12" customFormat="1" x14ac:dyDescent="0.25">
      <c r="A122" s="13" t="s">
        <v>281</v>
      </c>
      <c r="B122" s="14">
        <v>0</v>
      </c>
      <c r="C122" s="14">
        <f>16747.5+7900+2200+100+500+11915+5000+4582</f>
        <v>48944.5</v>
      </c>
      <c r="D122" s="14">
        <v>0</v>
      </c>
      <c r="E122" s="14"/>
      <c r="F122" s="14"/>
      <c r="G122" s="14"/>
      <c r="H122" s="14">
        <v>200</v>
      </c>
      <c r="I122" s="14">
        <v>0</v>
      </c>
      <c r="J122" s="14"/>
      <c r="K122" s="14">
        <f t="shared" si="25"/>
        <v>49144.5</v>
      </c>
      <c r="L122" s="14">
        <f>41250+850+1200+1800+258+1500+960+6500</f>
        <v>54318</v>
      </c>
      <c r="M122" s="14">
        <f t="shared" si="26"/>
        <v>-5173.5</v>
      </c>
      <c r="N122" s="14">
        <v>9671.75</v>
      </c>
      <c r="O122" s="14">
        <v>0</v>
      </c>
      <c r="P122" s="14"/>
      <c r="Q122" s="14">
        <v>0</v>
      </c>
      <c r="R122" s="14">
        <f t="shared" si="27"/>
        <v>4498.25</v>
      </c>
    </row>
    <row r="123" spans="1:18" s="12" customFormat="1" x14ac:dyDescent="0.25">
      <c r="A123" s="13" t="s">
        <v>282</v>
      </c>
      <c r="B123" s="14">
        <v>13110</v>
      </c>
      <c r="C123" s="14">
        <f>4177.75+1200+770+1000+130+314+250+765</f>
        <v>8606.75</v>
      </c>
      <c r="D123" s="14">
        <v>0</v>
      </c>
      <c r="E123" s="14">
        <v>0</v>
      </c>
      <c r="F123" s="14"/>
      <c r="G123" s="14"/>
      <c r="H123" s="14">
        <v>450</v>
      </c>
      <c r="I123" s="14">
        <f>400+300</f>
        <v>700</v>
      </c>
      <c r="J123" s="14"/>
      <c r="K123" s="14">
        <f t="shared" si="25"/>
        <v>22866.75</v>
      </c>
      <c r="L123" s="14">
        <f>12000+300+3400+274+4280+400+300</f>
        <v>20954</v>
      </c>
      <c r="M123" s="14">
        <f t="shared" si="26"/>
        <v>1912.75</v>
      </c>
      <c r="N123" s="14"/>
      <c r="O123" s="14"/>
      <c r="P123" s="14"/>
      <c r="Q123" s="14"/>
      <c r="R123" s="14">
        <f t="shared" si="27"/>
        <v>1912.75</v>
      </c>
    </row>
    <row r="124" spans="1:18" s="12" customFormat="1" x14ac:dyDescent="0.25">
      <c r="A124" s="13" t="s">
        <v>283</v>
      </c>
      <c r="B124" s="14">
        <v>1000</v>
      </c>
      <c r="C124" s="14">
        <f>10760+2027+785+4060+434+515+3271</f>
        <v>21852</v>
      </c>
      <c r="D124" s="14">
        <v>5120</v>
      </c>
      <c r="E124" s="14"/>
      <c r="F124" s="14"/>
      <c r="G124" s="14"/>
      <c r="H124" s="14"/>
      <c r="I124" s="14">
        <v>1500</v>
      </c>
      <c r="J124" s="14"/>
      <c r="K124" s="14">
        <f t="shared" si="25"/>
        <v>29472</v>
      </c>
      <c r="L124" s="14">
        <f>4500+2005+5525+1155+300+400+6000+4136+3755+500</f>
        <v>28276</v>
      </c>
      <c r="M124" s="14">
        <f t="shared" si="26"/>
        <v>1196</v>
      </c>
      <c r="N124" s="14"/>
      <c r="O124" s="14"/>
      <c r="P124" s="14"/>
      <c r="Q124" s="14"/>
      <c r="R124" s="14">
        <f t="shared" si="27"/>
        <v>1196</v>
      </c>
    </row>
    <row r="125" spans="1:18" x14ac:dyDescent="0.25">
      <c r="A125" s="32" t="s">
        <v>284</v>
      </c>
      <c r="B125" s="24"/>
      <c r="C125" s="24">
        <v>4363</v>
      </c>
      <c r="D125" s="24"/>
      <c r="E125" s="24"/>
      <c r="F125" s="24"/>
      <c r="G125" s="24"/>
      <c r="H125" s="24"/>
      <c r="I125" s="24"/>
      <c r="J125" s="24"/>
      <c r="K125" s="24">
        <f t="shared" si="25"/>
        <v>4363</v>
      </c>
      <c r="L125" s="24"/>
      <c r="M125" s="24">
        <f t="shared" si="26"/>
        <v>4363</v>
      </c>
      <c r="N125" s="24"/>
      <c r="O125" s="24"/>
      <c r="P125" s="24"/>
      <c r="Q125" s="24"/>
      <c r="R125" s="24">
        <f t="shared" si="27"/>
        <v>4363</v>
      </c>
    </row>
    <row r="126" spans="1:18" x14ac:dyDescent="0.25">
      <c r="A126" s="23" t="s">
        <v>285</v>
      </c>
      <c r="B126" s="24">
        <v>1114</v>
      </c>
      <c r="C126" s="24">
        <f>2810+2933+907+133</f>
        <v>6783</v>
      </c>
      <c r="D126" s="24">
        <v>5880</v>
      </c>
      <c r="E126" s="24"/>
      <c r="F126" s="24"/>
      <c r="G126" s="24">
        <f>6504.25+2000</f>
        <v>8504.25</v>
      </c>
      <c r="H126" s="24"/>
      <c r="I126" s="24"/>
      <c r="J126" s="24"/>
      <c r="K126" s="24">
        <f t="shared" si="25"/>
        <v>22281.25</v>
      </c>
      <c r="L126" s="24">
        <f>255+2500</f>
        <v>2755</v>
      </c>
      <c r="M126" s="24">
        <f t="shared" si="26"/>
        <v>19526.25</v>
      </c>
      <c r="N126" s="24">
        <v>5108</v>
      </c>
      <c r="O126" s="24"/>
      <c r="P126" s="24"/>
      <c r="Q126" s="24">
        <f>6504+2000</f>
        <v>8504</v>
      </c>
      <c r="R126" s="24">
        <f t="shared" si="27"/>
        <v>16130.25</v>
      </c>
    </row>
    <row r="127" spans="1:18" x14ac:dyDescent="0.25">
      <c r="A127" s="23" t="s">
        <v>286</v>
      </c>
      <c r="B127" s="24">
        <v>0</v>
      </c>
      <c r="C127" s="24">
        <f>21431+2250+3868+12716+6258</f>
        <v>46523</v>
      </c>
      <c r="D127" s="24">
        <f>7949+7665</f>
        <v>15614</v>
      </c>
      <c r="E127" s="24">
        <v>0</v>
      </c>
      <c r="F127" s="24"/>
      <c r="G127" s="24"/>
      <c r="H127" s="24">
        <v>100</v>
      </c>
      <c r="I127" s="24">
        <f>124+1240+1110+720</f>
        <v>3194</v>
      </c>
      <c r="J127" s="24"/>
      <c r="K127" s="24">
        <f t="shared" si="25"/>
        <v>65431</v>
      </c>
      <c r="L127" s="24">
        <f>42040+800+440+20630+600+787+750+6500+2500+2075+2050+2000</f>
        <v>81172</v>
      </c>
      <c r="M127" s="24">
        <f t="shared" si="26"/>
        <v>-15741</v>
      </c>
      <c r="N127" s="24">
        <v>16519.29</v>
      </c>
      <c r="O127" s="24">
        <v>3300</v>
      </c>
      <c r="P127" s="24"/>
      <c r="Q127" s="24"/>
      <c r="R127" s="24">
        <f t="shared" si="27"/>
        <v>4078.2900000000009</v>
      </c>
    </row>
    <row r="128" spans="1:18" s="12" customFormat="1" x14ac:dyDescent="0.25">
      <c r="A128" s="37" t="s">
        <v>287</v>
      </c>
      <c r="B128" s="14"/>
      <c r="C128" s="14">
        <v>939</v>
      </c>
      <c r="D128" s="14">
        <v>0</v>
      </c>
      <c r="E128" s="14"/>
      <c r="F128" s="14"/>
      <c r="G128" s="14"/>
      <c r="H128" s="14"/>
      <c r="I128" s="14"/>
      <c r="J128" s="14"/>
      <c r="K128" s="14">
        <f t="shared" si="25"/>
        <v>939</v>
      </c>
      <c r="L128" s="14">
        <v>2300</v>
      </c>
      <c r="M128" s="14">
        <f t="shared" si="26"/>
        <v>-1361</v>
      </c>
      <c r="N128" s="14"/>
      <c r="O128" s="14"/>
      <c r="P128" s="14"/>
      <c r="Q128" s="14"/>
      <c r="R128" s="14">
        <f t="shared" si="27"/>
        <v>-1361</v>
      </c>
    </row>
    <row r="129" spans="1:18" s="12" customFormat="1" x14ac:dyDescent="0.25">
      <c r="A129" s="13" t="s">
        <v>288</v>
      </c>
      <c r="B129" s="14">
        <v>7100</v>
      </c>
      <c r="C129" s="14">
        <f>6296.75+427+337+1680+350</f>
        <v>9090.75</v>
      </c>
      <c r="D129" s="14">
        <v>3300</v>
      </c>
      <c r="E129" s="14">
        <v>0</v>
      </c>
      <c r="F129" s="14"/>
      <c r="G129" s="14"/>
      <c r="H129" s="14"/>
      <c r="I129" s="14">
        <f>50+200+4600</f>
        <v>4850</v>
      </c>
      <c r="J129" s="14"/>
      <c r="K129" s="14">
        <f t="shared" si="25"/>
        <v>24340.75</v>
      </c>
      <c r="L129" s="14">
        <f>6000+469+2000+484+4000+1000</f>
        <v>13953</v>
      </c>
      <c r="M129" s="14">
        <f t="shared" si="26"/>
        <v>10387.75</v>
      </c>
      <c r="N129" s="14">
        <v>24340.75</v>
      </c>
      <c r="O129" s="14"/>
      <c r="P129" s="14"/>
      <c r="Q129" s="14"/>
      <c r="R129" s="14">
        <f t="shared" si="27"/>
        <v>34728.5</v>
      </c>
    </row>
    <row r="130" spans="1:18" s="12" customFormat="1" x14ac:dyDescent="0.25">
      <c r="A130" s="13" t="s">
        <v>420</v>
      </c>
      <c r="B130" s="14"/>
      <c r="C130" s="14">
        <f>12271+580+424</f>
        <v>13275</v>
      </c>
      <c r="D130" s="14">
        <v>7260</v>
      </c>
      <c r="E130" s="14"/>
      <c r="F130" s="14"/>
      <c r="G130" s="14"/>
      <c r="H130" s="14"/>
      <c r="I130" s="14"/>
      <c r="J130" s="14"/>
      <c r="K130" s="14">
        <f t="shared" si="25"/>
        <v>20535</v>
      </c>
      <c r="L130" s="14">
        <f>6000+640+450+7200+1331</f>
        <v>15621</v>
      </c>
      <c r="M130" s="14">
        <f t="shared" si="26"/>
        <v>4914</v>
      </c>
      <c r="N130" s="14"/>
      <c r="O130" s="14"/>
      <c r="P130" s="14"/>
      <c r="Q130" s="14"/>
      <c r="R130" s="14">
        <f t="shared" si="27"/>
        <v>4914</v>
      </c>
    </row>
    <row r="131" spans="1:18" s="12" customFormat="1" x14ac:dyDescent="0.25">
      <c r="A131" s="40" t="s">
        <v>289</v>
      </c>
      <c r="B131" s="14">
        <v>0</v>
      </c>
      <c r="C131" s="14">
        <f>9032+200+648</f>
        <v>9880</v>
      </c>
      <c r="D131" s="14">
        <v>0</v>
      </c>
      <c r="E131" s="14">
        <v>0</v>
      </c>
      <c r="F131" s="14">
        <v>0</v>
      </c>
      <c r="G131" s="14"/>
      <c r="H131" s="14"/>
      <c r="I131" s="14"/>
      <c r="J131" s="14"/>
      <c r="K131" s="14">
        <f t="shared" si="25"/>
        <v>9880</v>
      </c>
      <c r="L131" s="14">
        <f>4500+1200+600+662.14+4400</f>
        <v>11362.14</v>
      </c>
      <c r="M131" s="14">
        <f t="shared" si="26"/>
        <v>-1482.1399999999994</v>
      </c>
      <c r="N131" s="14">
        <v>5060.37</v>
      </c>
      <c r="O131" s="14"/>
      <c r="P131" s="14"/>
      <c r="Q131" s="14"/>
      <c r="R131" s="14">
        <f t="shared" si="27"/>
        <v>3578.2300000000005</v>
      </c>
    </row>
    <row r="132" spans="1:18" x14ac:dyDescent="0.25">
      <c r="A132" s="23" t="s">
        <v>290</v>
      </c>
      <c r="B132" s="24">
        <v>24400</v>
      </c>
      <c r="C132" s="24">
        <f>21137.25+200+992+100+2168</f>
        <v>24597.25</v>
      </c>
      <c r="D132" s="24">
        <v>0</v>
      </c>
      <c r="E132" s="24"/>
      <c r="F132" s="24"/>
      <c r="G132" s="24"/>
      <c r="H132" s="24">
        <f>1900+300</f>
        <v>2200</v>
      </c>
      <c r="I132" s="24">
        <v>1380</v>
      </c>
      <c r="J132" s="24"/>
      <c r="K132" s="24">
        <f t="shared" si="25"/>
        <v>52577.25</v>
      </c>
      <c r="L132" s="24">
        <v>39434</v>
      </c>
      <c r="M132" s="24">
        <f t="shared" si="26"/>
        <v>13143.25</v>
      </c>
      <c r="N132" s="24"/>
      <c r="O132" s="24"/>
      <c r="P132" s="24"/>
      <c r="Q132" s="24"/>
      <c r="R132" s="24">
        <f t="shared" ref="R132" si="28">+M132+N132+O132+P132-Q132</f>
        <v>13143.25</v>
      </c>
    </row>
    <row r="133" spans="1:18" x14ac:dyDescent="0.25">
      <c r="A133" s="33" t="s">
        <v>291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x14ac:dyDescent="0.25">
      <c r="A134" s="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x14ac:dyDescent="0.25">
      <c r="A135" s="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x14ac:dyDescent="0.25">
      <c r="A136" s="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x14ac:dyDescent="0.25">
      <c r="A137" s="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x14ac:dyDescent="0.25">
      <c r="A138" s="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x14ac:dyDescent="0.25">
      <c r="A139" s="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x14ac:dyDescent="0.25">
      <c r="A140" s="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x14ac:dyDescent="0.25">
      <c r="A141" s="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x14ac:dyDescent="0.25">
      <c r="A142" s="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x14ac:dyDescent="0.25">
      <c r="A143" s="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x14ac:dyDescent="0.25">
      <c r="A144" s="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Central</vt:lpstr>
      <vt:lpstr>Titus</vt:lpstr>
      <vt:lpstr>Besao</vt:lpstr>
      <vt:lpstr>Bauko</vt:lpstr>
      <vt:lpstr>Kinali</vt:lpstr>
      <vt:lpstr>Sagada</vt:lpstr>
      <vt:lpstr>Tadian</vt:lpstr>
      <vt:lpstr>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EDNP ACCOUNTING</dc:creator>
  <cp:lastModifiedBy>eyzon Yizz</cp:lastModifiedBy>
  <cp:lastPrinted>2024-02-20T03:53:10Z</cp:lastPrinted>
  <dcterms:created xsi:type="dcterms:W3CDTF">2023-03-30T17:03:20Z</dcterms:created>
  <dcterms:modified xsi:type="dcterms:W3CDTF">2026-06-30T08:10:47Z</dcterms:modified>
</cp:coreProperties>
</file>